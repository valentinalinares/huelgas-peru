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D:\MARLENE\AÑO 2026\03 - HUELGAS EN EL PERU\"/>
    </mc:Choice>
  </mc:AlternateContent>
  <xr:revisionPtr revIDLastSave="0" documentId="13_ncr:1_{7DD1F6D4-94B7-46B8-B914-FABA80FA1EE0}" xr6:coauthVersionLast="47" xr6:coauthVersionMax="47" xr10:uidLastSave="{00000000-0000-0000-0000-000000000000}"/>
  <bookViews>
    <workbookView xWindow="-120" yWindow="-120" windowWidth="29040" windowHeight="15840" tabRatio="764" firstSheet="10" activeTab="11" xr2:uid="{00000000-000D-0000-FFFF-FFFF00000000}"/>
  </bookViews>
  <sheets>
    <sheet name="Anexo 01" sheetId="1" r:id="rId1"/>
    <sheet name="Anexo 02" sheetId="2" r:id="rId2"/>
    <sheet name="Anexo 03" sheetId="3" r:id="rId3"/>
    <sheet name="Anexo 04-05" sheetId="14" r:id="rId4"/>
    <sheet name="Anexo 06" sheetId="6" r:id="rId5"/>
    <sheet name="Anexo 07-08" sheetId="7" r:id="rId6"/>
    <sheet name="Anexo 09" sheetId="45" r:id="rId7"/>
    <sheet name="Anexo 10" sheetId="40" r:id="rId8"/>
    <sheet name="Anexo 11" sheetId="10" r:id="rId9"/>
    <sheet name="Anexo 12" sheetId="51" r:id="rId10"/>
    <sheet name="Anexo 13" sheetId="12" r:id="rId11"/>
    <sheet name="Anexo 14" sheetId="13" r:id="rId12"/>
    <sheet name="Anexo15" sheetId="15" r:id="rId13"/>
    <sheet name="Anexo 16" sheetId="52" r:id="rId14"/>
    <sheet name="Anexo 17" sheetId="17" r:id="rId15"/>
    <sheet name="Anexo 18" sheetId="33" r:id="rId16"/>
    <sheet name="Anexo 19" sheetId="24" r:id="rId17"/>
    <sheet name="Anexo 20" sheetId="37" r:id="rId18"/>
    <sheet name="Anexo 21" sheetId="36" r:id="rId19"/>
    <sheet name="Anexo 22" sheetId="41" r:id="rId20"/>
    <sheet name="Anexo 23" sheetId="39" r:id="rId21"/>
    <sheet name="Anexo 24" sheetId="44" r:id="rId22"/>
    <sheet name="Anexo 25" sheetId="42" r:id="rId23"/>
    <sheet name="Anexo 26" sheetId="48" r:id="rId24"/>
    <sheet name="Anexo 27" sheetId="49" r:id="rId25"/>
    <sheet name="Anexo 28" sheetId="46" r:id="rId26"/>
  </sheets>
  <definedNames>
    <definedName name="_xlnm._FilterDatabase" localSheetId="6" hidden="1">'Anexo 09'!#REF!</definedName>
    <definedName name="_xlnm.Print_Area" localSheetId="0">'Anexo 01'!$A$1:$Q$42</definedName>
    <definedName name="_xlnm.Print_Area" localSheetId="1">'Anexo 02'!$A$1:$N$22</definedName>
    <definedName name="_xlnm.Print_Area" localSheetId="2">'Anexo 03'!$B$1:$N$20</definedName>
    <definedName name="_xlnm.Print_Area" localSheetId="3">'Anexo 04-05'!$A$1:$O$25</definedName>
    <definedName name="_xlnm.Print_Area" localSheetId="4">'Anexo 06'!$B$1:$N$22</definedName>
    <definedName name="_xlnm.Print_Area" localSheetId="5">'Anexo 07-08'!$A$1:$N$33</definedName>
    <definedName name="_xlnm.Print_Area" localSheetId="6">'Anexo 09'!$A$1:$I$45</definedName>
    <definedName name="_xlnm.Print_Area" localSheetId="7">'Anexo 10'!$B$1:$N$41</definedName>
    <definedName name="_xlnm.Print_Area" localSheetId="8">'Anexo 11'!$B$1:$N$20</definedName>
    <definedName name="_xlnm.Print_Area" localSheetId="9">'Anexo 12'!$B$1:$AX$103</definedName>
    <definedName name="_xlnm.Print_Area" localSheetId="10">'Anexo 13'!$B$1:$K$55</definedName>
    <definedName name="_xlnm.Print_Area" localSheetId="11">'Anexo 14'!$B$1:$W$29</definedName>
    <definedName name="_xlnm.Print_Area" localSheetId="13">'Anexo 16'!$B$1:$AY$115</definedName>
    <definedName name="_xlnm.Print_Area" localSheetId="14">'Anexo 17'!$B$1:$AD$64</definedName>
    <definedName name="_xlnm.Print_Area" localSheetId="15">'Anexo 18'!$B$1:$AD$99</definedName>
    <definedName name="_xlnm.Print_Area" localSheetId="16">'Anexo 19'!$B$1:$I$25</definedName>
    <definedName name="_xlnm.Print_Area" localSheetId="17">'Anexo 20'!$B$1:$T$45</definedName>
    <definedName name="_xlnm.Print_Area" localSheetId="18">'Anexo 21'!$B$1:$I$36</definedName>
    <definedName name="_xlnm.Print_Area" localSheetId="19">'Anexo 22'!$B$1:$T$19</definedName>
    <definedName name="_xlnm.Print_Area" localSheetId="20">'Anexo 23'!$B$1:$H$39</definedName>
    <definedName name="_xlnm.Print_Area" localSheetId="21">'Anexo 24'!$B$1:$T$39</definedName>
    <definedName name="_xlnm.Print_Area" localSheetId="22">'Anexo 25'!$B$1:$T$39</definedName>
    <definedName name="_xlnm.Print_Area" localSheetId="23">'Anexo 26'!$B$2:$AY$65</definedName>
    <definedName name="_xlnm.Print_Area" localSheetId="24">'Anexo 27'!$A$1:$AY$50</definedName>
    <definedName name="_xlnm.Print_Area" localSheetId="25">'Anexo 28'!$B$1:$T$39</definedName>
    <definedName name="_xlnm.Print_Area" localSheetId="12">Anexo15!$B$1:$U$25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59" i="48" l="1"/>
  <c r="AR58" i="48"/>
  <c r="AV42" i="48"/>
  <c r="AT60" i="48"/>
  <c r="AT59" i="48"/>
  <c r="AT58" i="48"/>
  <c r="AR60" i="48"/>
  <c r="AP60" i="48"/>
  <c r="AP59" i="48"/>
  <c r="AP58" i="48"/>
  <c r="AN60" i="48"/>
  <c r="AN59" i="48"/>
  <c r="AN58" i="48"/>
  <c r="AL60" i="48"/>
  <c r="AL59" i="48"/>
  <c r="AL58" i="48"/>
  <c r="AH60" i="48"/>
  <c r="AH59" i="48"/>
  <c r="AH58" i="48"/>
  <c r="AF60" i="48"/>
  <c r="AF59" i="48"/>
  <c r="AF58" i="48"/>
  <c r="AD60" i="48"/>
  <c r="AD59" i="48"/>
  <c r="AD58" i="48"/>
  <c r="AB60" i="48"/>
  <c r="AB59" i="48"/>
  <c r="AB58" i="48"/>
  <c r="Z60" i="48"/>
  <c r="Z59" i="48"/>
  <c r="Z58" i="48"/>
  <c r="X60" i="48"/>
  <c r="X59" i="48"/>
  <c r="X58" i="48"/>
  <c r="V60" i="48"/>
  <c r="V59" i="48"/>
  <c r="V58" i="48"/>
  <c r="T60" i="48"/>
  <c r="T59" i="48"/>
  <c r="T58" i="48"/>
  <c r="R60" i="48"/>
  <c r="R59" i="48"/>
  <c r="R58" i="48"/>
  <c r="P60" i="48"/>
  <c r="P59" i="48"/>
  <c r="P58" i="48"/>
  <c r="N60" i="48"/>
  <c r="N59" i="48"/>
  <c r="N58" i="48"/>
  <c r="L60" i="48"/>
  <c r="L59" i="48"/>
  <c r="L58" i="48"/>
  <c r="J60" i="48"/>
  <c r="J59" i="48"/>
  <c r="J58" i="48"/>
  <c r="H60" i="48"/>
  <c r="H59" i="48"/>
  <c r="H58" i="48"/>
  <c r="F60" i="48"/>
  <c r="F59" i="48"/>
  <c r="F58" i="48"/>
  <c r="D60" i="48"/>
  <c r="D59" i="48"/>
  <c r="D58" i="48"/>
  <c r="AW40" i="49"/>
  <c r="AU40" i="49"/>
  <c r="AS40" i="49"/>
  <c r="G34" i="42"/>
  <c r="G33" i="42"/>
  <c r="S33" i="42"/>
  <c r="M33" i="42"/>
  <c r="Y93" i="33"/>
  <c r="Y92" i="33"/>
  <c r="Y91" i="33"/>
  <c r="W93" i="33"/>
  <c r="W92" i="33"/>
  <c r="W91" i="33"/>
  <c r="U93" i="33"/>
  <c r="U92" i="33"/>
  <c r="U91" i="33"/>
  <c r="S93" i="33"/>
  <c r="S92" i="33"/>
  <c r="S91" i="33"/>
  <c r="Q93" i="33"/>
  <c r="Q92" i="33"/>
  <c r="Q91" i="33"/>
  <c r="O93" i="33"/>
  <c r="O92" i="33"/>
  <c r="O91" i="33"/>
  <c r="M93" i="33"/>
  <c r="M92" i="33"/>
  <c r="M91" i="33"/>
  <c r="K93" i="33"/>
  <c r="K92" i="33"/>
  <c r="K91" i="33"/>
  <c r="I93" i="33"/>
  <c r="I92" i="33"/>
  <c r="I91" i="33"/>
  <c r="G93" i="33"/>
  <c r="G92" i="33"/>
  <c r="G91" i="33"/>
  <c r="E93" i="33"/>
  <c r="E92" i="33"/>
  <c r="E91" i="33"/>
  <c r="AA78" i="33"/>
  <c r="AA77" i="33"/>
  <c r="AA76" i="33"/>
  <c r="AA83" i="33"/>
  <c r="AA82" i="33"/>
  <c r="AA81" i="33"/>
  <c r="AA54" i="33"/>
  <c r="AA27" i="33"/>
  <c r="AA26" i="33"/>
  <c r="AA25" i="33"/>
  <c r="G56" i="17"/>
  <c r="S32" i="46"/>
  <c r="Q32" i="46"/>
  <c r="O32" i="46"/>
  <c r="S33" i="44"/>
  <c r="M33" i="44"/>
  <c r="G33" i="44"/>
  <c r="G33" i="39"/>
  <c r="G32" i="39"/>
  <c r="S39" i="37"/>
  <c r="M39" i="37"/>
  <c r="G39" i="37"/>
  <c r="Z107" i="52"/>
  <c r="R107" i="52"/>
  <c r="J107" i="52"/>
  <c r="J9" i="15"/>
  <c r="E45" i="12"/>
  <c r="E38" i="12"/>
  <c r="E39" i="12"/>
  <c r="K44" i="12"/>
  <c r="H44" i="12"/>
  <c r="E44" i="12"/>
  <c r="Y92" i="51"/>
  <c r="W92" i="51"/>
  <c r="U92" i="51"/>
  <c r="M33" i="40"/>
  <c r="M32" i="40"/>
  <c r="C21" i="45"/>
  <c r="C24" i="45"/>
  <c r="G24" i="45"/>
  <c r="E24" i="45"/>
  <c r="G21" i="45"/>
  <c r="E21" i="45"/>
  <c r="E36" i="45" s="1"/>
  <c r="K16" i="3"/>
  <c r="K7" i="2"/>
  <c r="G7" i="2"/>
  <c r="K9" i="2"/>
  <c r="G9" i="2"/>
  <c r="G11" i="2"/>
  <c r="K11" i="2"/>
  <c r="C11" i="2"/>
  <c r="K28" i="7"/>
  <c r="AA53" i="33" l="1"/>
  <c r="AA55" i="33"/>
  <c r="G36" i="45"/>
  <c r="C36" i="45"/>
  <c r="AV10" i="48"/>
  <c r="AV11" i="48"/>
  <c r="AV12" i="48"/>
  <c r="AV14" i="48"/>
  <c r="AV15" i="48"/>
  <c r="AV16" i="48"/>
  <c r="AV18" i="48"/>
  <c r="AV19" i="48"/>
  <c r="AV20" i="48"/>
  <c r="AV22" i="48"/>
  <c r="AV23" i="48"/>
  <c r="AV24" i="48"/>
  <c r="AV26" i="48"/>
  <c r="AV27" i="48"/>
  <c r="AV28" i="48"/>
  <c r="AV30" i="48"/>
  <c r="AV31" i="48"/>
  <c r="AV32" i="48"/>
  <c r="AV34" i="48"/>
  <c r="AV35" i="48"/>
  <c r="AV36" i="48"/>
  <c r="AV38" i="48"/>
  <c r="AV39" i="48"/>
  <c r="AV40" i="48"/>
  <c r="AV43" i="48"/>
  <c r="AV44" i="48"/>
  <c r="AV46" i="48"/>
  <c r="AV47" i="48"/>
  <c r="AV48" i="48"/>
  <c r="AV50" i="48"/>
  <c r="AV51" i="48"/>
  <c r="AV52" i="48"/>
  <c r="AV54" i="48"/>
  <c r="AV55" i="48"/>
  <c r="AV56" i="48"/>
  <c r="AJ58" i="48"/>
  <c r="AJ59" i="48"/>
  <c r="AJ60" i="48"/>
  <c r="AV60" i="48" l="1"/>
  <c r="AX28" i="48" s="1"/>
  <c r="AV59" i="48"/>
  <c r="AX15" i="48" s="1"/>
  <c r="AV58" i="48"/>
  <c r="AA88" i="33"/>
  <c r="AA87" i="33"/>
  <c r="AA86" i="33"/>
  <c r="AA72" i="33"/>
  <c r="AA71" i="33"/>
  <c r="AA68" i="33"/>
  <c r="AA67" i="33"/>
  <c r="AA66" i="33"/>
  <c r="AA64" i="33"/>
  <c r="AA63" i="33"/>
  <c r="AA62" i="33"/>
  <c r="AA57" i="33"/>
  <c r="AA42" i="33"/>
  <c r="AA41" i="33"/>
  <c r="AA40" i="33"/>
  <c r="AA37" i="33"/>
  <c r="AA36" i="33"/>
  <c r="AA35" i="33"/>
  <c r="AA33" i="33"/>
  <c r="AA32" i="33"/>
  <c r="AA31" i="33"/>
  <c r="AA30" i="33"/>
  <c r="AA22" i="33"/>
  <c r="AA21" i="33"/>
  <c r="AA20" i="33"/>
  <c r="AA17" i="33"/>
  <c r="AA16" i="33"/>
  <c r="AA15" i="33"/>
  <c r="AA12" i="33"/>
  <c r="AA11" i="33"/>
  <c r="AA10" i="33"/>
  <c r="AX30" i="48" l="1"/>
  <c r="AX42" i="48"/>
  <c r="AX54" i="48"/>
  <c r="AX34" i="48"/>
  <c r="AX50" i="48"/>
  <c r="AX46" i="48"/>
  <c r="AX38" i="48"/>
  <c r="AX18" i="48"/>
  <c r="AX10" i="48"/>
  <c r="AX47" i="48"/>
  <c r="AX27" i="48"/>
  <c r="AX19" i="48"/>
  <c r="AX51" i="48"/>
  <c r="AX31" i="48"/>
  <c r="AX23" i="48"/>
  <c r="AX55" i="48"/>
  <c r="AX11" i="48"/>
  <c r="AX43" i="48"/>
  <c r="AX39" i="48"/>
  <c r="AX35" i="48"/>
  <c r="AX26" i="48"/>
  <c r="AX22" i="48"/>
  <c r="AX14" i="48"/>
  <c r="AX40" i="48"/>
  <c r="AX48" i="48"/>
  <c r="AA91" i="33"/>
  <c r="AX20" i="48"/>
  <c r="AX36" i="48"/>
  <c r="AX16" i="48"/>
  <c r="AX52" i="48"/>
  <c r="AX32" i="48"/>
  <c r="AX56" i="48"/>
  <c r="AX12" i="48"/>
  <c r="AX44" i="48"/>
  <c r="AX24" i="48"/>
  <c r="AA73" i="33"/>
  <c r="AA59" i="33"/>
  <c r="AA58" i="33"/>
  <c r="AA92" i="33" s="1"/>
  <c r="Q56" i="17"/>
  <c r="AA53" i="17"/>
  <c r="AA54" i="17"/>
  <c r="AA49" i="17"/>
  <c r="AA50" i="17"/>
  <c r="AA48" i="17"/>
  <c r="AA45" i="17"/>
  <c r="AA46" i="17"/>
  <c r="AA41" i="17"/>
  <c r="AA42" i="17"/>
  <c r="AA37" i="17"/>
  <c r="AA38" i="17"/>
  <c r="AA33" i="17"/>
  <c r="AA34" i="17"/>
  <c r="AA30" i="17"/>
  <c r="AA25" i="17"/>
  <c r="AA26" i="17"/>
  <c r="AA21" i="17"/>
  <c r="AA22" i="17"/>
  <c r="AA17" i="17"/>
  <c r="AA18" i="17"/>
  <c r="AA13" i="17"/>
  <c r="AA14" i="17"/>
  <c r="AA12" i="17"/>
  <c r="AA9" i="17"/>
  <c r="AA10" i="17"/>
  <c r="AA8" i="17"/>
  <c r="AA36" i="17"/>
  <c r="Y58" i="17"/>
  <c r="Y57" i="17"/>
  <c r="Y56" i="17"/>
  <c r="S56" i="17"/>
  <c r="S57" i="17"/>
  <c r="S58" i="17"/>
  <c r="E58" i="17"/>
  <c r="E57" i="17"/>
  <c r="E56" i="17"/>
  <c r="AX58" i="48" l="1"/>
  <c r="AX59" i="48"/>
  <c r="AX60" i="48"/>
  <c r="AA93" i="33"/>
  <c r="AC64" i="33" s="1"/>
  <c r="AC41" i="33"/>
  <c r="AC36" i="33"/>
  <c r="AC11" i="33"/>
  <c r="AC77" i="33"/>
  <c r="AC31" i="33"/>
  <c r="AC16" i="33"/>
  <c r="AC82" i="33"/>
  <c r="AC26" i="33"/>
  <c r="AC87" i="33"/>
  <c r="AC72" i="33"/>
  <c r="AC67" i="33"/>
  <c r="AC63" i="33"/>
  <c r="AC58" i="33"/>
  <c r="AC54" i="33"/>
  <c r="AC21" i="33"/>
  <c r="AC76" i="33"/>
  <c r="AC40" i="33"/>
  <c r="AC71" i="33"/>
  <c r="AC66" i="33"/>
  <c r="AC30" i="33"/>
  <c r="AC62" i="33"/>
  <c r="AC57" i="33"/>
  <c r="AC20" i="33"/>
  <c r="AC53" i="33"/>
  <c r="AC15" i="33"/>
  <c r="AC10" i="33"/>
  <c r="AC86" i="33"/>
  <c r="AC81" i="33"/>
  <c r="AC25" i="33"/>
  <c r="AC35" i="33"/>
  <c r="AA58" i="17"/>
  <c r="AC59" i="33" l="1"/>
  <c r="AC68" i="33"/>
  <c r="AC73" i="33"/>
  <c r="AC78" i="33"/>
  <c r="AC83" i="33"/>
  <c r="AC88" i="33"/>
  <c r="AC12" i="33"/>
  <c r="AC22" i="33"/>
  <c r="AC27" i="33"/>
  <c r="AC32" i="33"/>
  <c r="AC17" i="33"/>
  <c r="AC37" i="33"/>
  <c r="AC55" i="33"/>
  <c r="AC42" i="33"/>
  <c r="AC92" i="33"/>
  <c r="AC91" i="33"/>
  <c r="AC33" i="33"/>
  <c r="AC93" i="33" l="1"/>
  <c r="S31" i="46"/>
  <c r="Q31" i="46"/>
  <c r="O31" i="46"/>
  <c r="AO40" i="49"/>
  <c r="AM40" i="49"/>
  <c r="AQ40" i="49"/>
  <c r="S32" i="42"/>
  <c r="M32" i="42"/>
  <c r="G32" i="42"/>
  <c r="S32" i="44"/>
  <c r="M32" i="44"/>
  <c r="G32" i="44"/>
  <c r="G31" i="39"/>
  <c r="S38" i="37"/>
  <c r="M38" i="37"/>
  <c r="G38" i="37"/>
  <c r="X107" i="52"/>
  <c r="P107" i="52"/>
  <c r="H107" i="52"/>
  <c r="K43" i="12"/>
  <c r="H43" i="12"/>
  <c r="E43" i="12"/>
  <c r="S92" i="51"/>
  <c r="Q92" i="51"/>
  <c r="O92" i="51"/>
  <c r="M31" i="40"/>
  <c r="S30" i="46"/>
  <c r="Q30" i="46"/>
  <c r="O30" i="46"/>
  <c r="AK29" i="49"/>
  <c r="AK40" i="49" s="1"/>
  <c r="AI40" i="49"/>
  <c r="AG40" i="49"/>
  <c r="S31" i="42"/>
  <c r="M31" i="42"/>
  <c r="G31" i="42"/>
  <c r="S31" i="44"/>
  <c r="M31" i="44"/>
  <c r="G31" i="44"/>
  <c r="G30" i="39"/>
  <c r="S37" i="37"/>
  <c r="M37" i="37"/>
  <c r="G37" i="37"/>
  <c r="T107" i="52"/>
  <c r="N107" i="52"/>
  <c r="V107" i="52"/>
  <c r="L107" i="52"/>
  <c r="T20" i="15"/>
  <c r="T19" i="15"/>
  <c r="T18" i="15"/>
  <c r="T17" i="15"/>
  <c r="T16" i="15"/>
  <c r="T15" i="15"/>
  <c r="T14" i="15"/>
  <c r="T13" i="15"/>
  <c r="M17" i="15"/>
  <c r="M16" i="15"/>
  <c r="M15" i="15"/>
  <c r="M14" i="15"/>
  <c r="M13" i="15"/>
  <c r="K21" i="15"/>
  <c r="I21" i="15"/>
  <c r="K42" i="12"/>
  <c r="H42" i="12"/>
  <c r="E42" i="12"/>
  <c r="I92" i="51"/>
  <c r="C15" i="41" l="1"/>
  <c r="M92" i="51"/>
  <c r="K92" i="51"/>
  <c r="C17" i="6" l="1"/>
  <c r="E14" i="6" l="1"/>
  <c r="E16" i="6"/>
  <c r="E12" i="6"/>
  <c r="E15" i="6"/>
  <c r="E13" i="6"/>
  <c r="E11" i="6"/>
  <c r="E10" i="6"/>
  <c r="E8" i="6"/>
  <c r="E9" i="6"/>
  <c r="E17" i="6" l="1"/>
  <c r="M30" i="40"/>
  <c r="S33" i="46" l="1"/>
  <c r="Q33" i="46"/>
  <c r="O33" i="46"/>
  <c r="AE40" i="49"/>
  <c r="AC40" i="49"/>
  <c r="AA40" i="49"/>
  <c r="S30" i="42"/>
  <c r="M30" i="42"/>
  <c r="G30" i="42"/>
  <c r="S30" i="44"/>
  <c r="M30" i="44"/>
  <c r="G30" i="44"/>
  <c r="G29" i="39"/>
  <c r="S36" i="37"/>
  <c r="M36" i="37"/>
  <c r="G36" i="37"/>
  <c r="W58" i="17"/>
  <c r="U58" i="17"/>
  <c r="Q58" i="17"/>
  <c r="O58" i="17"/>
  <c r="M58" i="17"/>
  <c r="K58" i="17"/>
  <c r="I58" i="17"/>
  <c r="G58" i="17"/>
  <c r="W57" i="17"/>
  <c r="U57" i="17"/>
  <c r="Q57" i="17"/>
  <c r="O57" i="17"/>
  <c r="M57" i="17"/>
  <c r="K57" i="17"/>
  <c r="I57" i="17"/>
  <c r="G57" i="17"/>
  <c r="W56" i="17"/>
  <c r="U56" i="17"/>
  <c r="O56" i="17"/>
  <c r="M56" i="17"/>
  <c r="K56" i="17"/>
  <c r="I56" i="17"/>
  <c r="F107" i="52" l="1"/>
  <c r="D107" i="52"/>
  <c r="L22" i="13"/>
  <c r="I22" i="13"/>
  <c r="S22" i="13"/>
  <c r="P22" i="13"/>
  <c r="E22" i="13"/>
  <c r="C22" i="13"/>
  <c r="K45" i="12"/>
  <c r="K41" i="12"/>
  <c r="H45" i="12"/>
  <c r="G92" i="51"/>
  <c r="E92" i="51"/>
  <c r="C92" i="51"/>
  <c r="M29" i="40"/>
  <c r="C15" i="2" l="1"/>
  <c r="C9" i="2"/>
  <c r="C17" i="2" l="1"/>
  <c r="S28" i="46"/>
  <c r="Q28" i="46"/>
  <c r="O28" i="46"/>
  <c r="Y40" i="49"/>
  <c r="W40" i="49"/>
  <c r="U40" i="49"/>
  <c r="S29" i="42"/>
  <c r="M29" i="42"/>
  <c r="G29" i="42"/>
  <c r="S29" i="44"/>
  <c r="M29" i="44"/>
  <c r="G29" i="44"/>
  <c r="G28" i="39"/>
  <c r="S35" i="37"/>
  <c r="M35" i="37"/>
  <c r="G35" i="37"/>
  <c r="AX87" i="52"/>
  <c r="AH87" i="52"/>
  <c r="R87" i="52"/>
  <c r="E21" i="15"/>
  <c r="C21" i="15"/>
  <c r="G19" i="15"/>
  <c r="G9" i="15"/>
  <c r="G19" i="13"/>
  <c r="G16" i="13"/>
  <c r="H41" i="12"/>
  <c r="E41" i="12"/>
  <c r="K40" i="12"/>
  <c r="H40" i="12"/>
  <c r="E40" i="12"/>
  <c r="AS75" i="51"/>
  <c r="AW75" i="51"/>
  <c r="AU75" i="51"/>
  <c r="E14" i="2" l="1"/>
  <c r="E10" i="2"/>
  <c r="E8" i="2"/>
  <c r="E16" i="2"/>
  <c r="E12" i="2"/>
  <c r="E11" i="2" s="1"/>
  <c r="E13" i="2"/>
  <c r="K15" i="2" l="1"/>
  <c r="G15" i="2"/>
  <c r="G17" i="2" l="1"/>
  <c r="K17" i="2"/>
  <c r="S27" i="46"/>
  <c r="Q27" i="46"/>
  <c r="O27" i="46"/>
  <c r="M14" i="2" l="1"/>
  <c r="M13" i="2"/>
  <c r="M12" i="2"/>
  <c r="M11" i="2" s="1"/>
  <c r="I16" i="2"/>
  <c r="I15" i="2" s="1"/>
  <c r="I14" i="2"/>
  <c r="I13" i="2"/>
  <c r="I12" i="2"/>
  <c r="I8" i="2"/>
  <c r="I7" i="2" s="1"/>
  <c r="I10" i="2"/>
  <c r="I9" i="2" s="1"/>
  <c r="S40" i="49"/>
  <c r="Q40" i="49"/>
  <c r="O40" i="49"/>
  <c r="S28" i="42"/>
  <c r="M28" i="42"/>
  <c r="G28" i="42"/>
  <c r="S28" i="44"/>
  <c r="M28" i="44"/>
  <c r="G28" i="44"/>
  <c r="G27" i="39"/>
  <c r="S34" i="37"/>
  <c r="M34" i="37"/>
  <c r="G34" i="37"/>
  <c r="AV84" i="52"/>
  <c r="AV82" i="52"/>
  <c r="AV74" i="52"/>
  <c r="AV73" i="52"/>
  <c r="AF84" i="52"/>
  <c r="AF82" i="52"/>
  <c r="AF74" i="52"/>
  <c r="AF73" i="52"/>
  <c r="P84" i="52"/>
  <c r="P82" i="52"/>
  <c r="P74" i="52"/>
  <c r="P73" i="52"/>
  <c r="G16" i="15"/>
  <c r="I11" i="2" l="1"/>
  <c r="I17" i="2" s="1"/>
  <c r="AV87" i="52"/>
  <c r="P87" i="52"/>
  <c r="AF87" i="52"/>
  <c r="K39" i="12"/>
  <c r="H39" i="12"/>
  <c r="AQ75" i="51" l="1"/>
  <c r="AO75" i="51"/>
  <c r="AM75" i="51"/>
  <c r="M27" i="40"/>
  <c r="M28" i="40" l="1"/>
  <c r="S29" i="46" l="1"/>
  <c r="O29" i="46"/>
  <c r="Q29" i="46"/>
  <c r="S34" i="42"/>
  <c r="M34" i="42"/>
  <c r="S34" i="44"/>
  <c r="M34" i="44"/>
  <c r="G34" i="44"/>
  <c r="K17" i="6"/>
  <c r="M16" i="6" s="1"/>
  <c r="M25" i="7" l="1"/>
  <c r="M13" i="6"/>
  <c r="M10" i="6"/>
  <c r="M9" i="6"/>
  <c r="M8" i="6"/>
  <c r="I40" i="49"/>
  <c r="K40" i="49"/>
  <c r="M40" i="49"/>
  <c r="S40" i="37" l="1"/>
  <c r="M40" i="37"/>
  <c r="G40" i="37"/>
  <c r="N87" i="52"/>
  <c r="AT87" i="52"/>
  <c r="AR87" i="52"/>
  <c r="AD87" i="52"/>
  <c r="J38" i="12"/>
  <c r="K38" i="12" s="1"/>
  <c r="G38" i="12"/>
  <c r="H38" i="12" s="1"/>
  <c r="D38" i="12"/>
  <c r="AK75" i="51" l="1"/>
  <c r="AI75" i="51"/>
  <c r="AG75" i="51"/>
  <c r="Q27" i="42" l="1"/>
  <c r="K27" i="42"/>
  <c r="O27" i="44"/>
  <c r="I27" i="44"/>
  <c r="S25" i="46" l="1"/>
  <c r="Q25" i="46"/>
  <c r="O25" i="46"/>
  <c r="G40" i="49"/>
  <c r="E40" i="49"/>
  <c r="C40" i="49"/>
  <c r="S26" i="42"/>
  <c r="M26" i="42"/>
  <c r="G26" i="42"/>
  <c r="S26" i="44"/>
  <c r="M26" i="44"/>
  <c r="G26" i="44"/>
  <c r="G25" i="39"/>
  <c r="S8" i="41"/>
  <c r="S9" i="41"/>
  <c r="S10" i="41"/>
  <c r="S11" i="41"/>
  <c r="S12" i="41"/>
  <c r="S13" i="41"/>
  <c r="S14" i="41"/>
  <c r="Q8" i="41"/>
  <c r="Q9" i="41"/>
  <c r="Q10" i="41"/>
  <c r="Q11" i="41"/>
  <c r="Q12" i="41"/>
  <c r="Q13" i="41"/>
  <c r="Q14" i="41"/>
  <c r="O8" i="41"/>
  <c r="O9" i="41"/>
  <c r="O10" i="41"/>
  <c r="O11" i="41"/>
  <c r="O12" i="41"/>
  <c r="O13" i="41"/>
  <c r="O14" i="41"/>
  <c r="S7" i="41"/>
  <c r="Q7" i="41"/>
  <c r="O7" i="41"/>
  <c r="S32" i="37"/>
  <c r="M32" i="37"/>
  <c r="G32" i="37"/>
  <c r="AA52" i="17"/>
  <c r="AA44" i="17"/>
  <c r="AA40" i="17"/>
  <c r="AA32" i="17"/>
  <c r="AA29" i="17"/>
  <c r="AA57" i="17" s="1"/>
  <c r="AA28" i="17"/>
  <c r="AA24" i="17"/>
  <c r="AA20" i="17"/>
  <c r="AA16" i="17"/>
  <c r="AP87" i="52"/>
  <c r="AN87" i="52"/>
  <c r="AL87" i="52"/>
  <c r="AJ87" i="52"/>
  <c r="AB87" i="52"/>
  <c r="Z87" i="52"/>
  <c r="X87" i="52"/>
  <c r="V87" i="52"/>
  <c r="T87" i="52"/>
  <c r="L87" i="52"/>
  <c r="J87" i="52"/>
  <c r="H87" i="52"/>
  <c r="F87" i="52"/>
  <c r="D87" i="52"/>
  <c r="AY63" i="52"/>
  <c r="AX63" i="52"/>
  <c r="AV63" i="52"/>
  <c r="AU63" i="52"/>
  <c r="AT63" i="52"/>
  <c r="AR63" i="52"/>
  <c r="AP63" i="52"/>
  <c r="AN63" i="52"/>
  <c r="AL63" i="52"/>
  <c r="AJ63" i="52"/>
  <c r="AI63" i="52"/>
  <c r="AH63" i="52"/>
  <c r="AF63" i="52"/>
  <c r="AD63" i="52"/>
  <c r="AB63" i="52"/>
  <c r="Z63" i="52"/>
  <c r="X63" i="52"/>
  <c r="V63" i="52"/>
  <c r="T63" i="52"/>
  <c r="R63" i="52"/>
  <c r="P63" i="52"/>
  <c r="N63" i="52"/>
  <c r="L63" i="52"/>
  <c r="J63" i="52"/>
  <c r="H63" i="52"/>
  <c r="F63" i="52"/>
  <c r="D63" i="52"/>
  <c r="AX43" i="52"/>
  <c r="AV43" i="52"/>
  <c r="AT43" i="52"/>
  <c r="AR43" i="52"/>
  <c r="AP43" i="52"/>
  <c r="AN43" i="52"/>
  <c r="AL43" i="52"/>
  <c r="AJ43" i="52"/>
  <c r="AH43" i="52"/>
  <c r="AF43" i="52"/>
  <c r="AD43" i="52"/>
  <c r="AB43" i="52"/>
  <c r="Z43" i="52"/>
  <c r="X43" i="52"/>
  <c r="V43" i="52"/>
  <c r="T43" i="52"/>
  <c r="R43" i="52"/>
  <c r="P43" i="52"/>
  <c r="N43" i="52"/>
  <c r="L43" i="52"/>
  <c r="J43" i="52"/>
  <c r="H43" i="52"/>
  <c r="F43" i="52"/>
  <c r="D43" i="52"/>
  <c r="AX23" i="52"/>
  <c r="AT23" i="52"/>
  <c r="AR23" i="52"/>
  <c r="AP23" i="52"/>
  <c r="AN23" i="52"/>
  <c r="AL23" i="52"/>
  <c r="AJ23" i="52"/>
  <c r="AH23" i="52"/>
  <c r="AD23" i="52"/>
  <c r="AB23" i="52"/>
  <c r="Z23" i="52"/>
  <c r="X23" i="52"/>
  <c r="V23" i="52"/>
  <c r="T23" i="52"/>
  <c r="R23" i="52"/>
  <c r="N23" i="52"/>
  <c r="L23" i="52"/>
  <c r="J23" i="52"/>
  <c r="H23" i="52"/>
  <c r="F23" i="52"/>
  <c r="D23" i="52"/>
  <c r="AV21" i="52"/>
  <c r="AF21" i="52"/>
  <c r="P21" i="52"/>
  <c r="AV15" i="52"/>
  <c r="AF15" i="52"/>
  <c r="AV12" i="52"/>
  <c r="AF12" i="52"/>
  <c r="P12" i="52"/>
  <c r="AE75" i="51"/>
  <c r="AC75" i="51"/>
  <c r="AA75" i="51"/>
  <c r="Y75" i="51"/>
  <c r="W75" i="51"/>
  <c r="U75" i="51"/>
  <c r="S75" i="51"/>
  <c r="Q75" i="51"/>
  <c r="O75" i="51"/>
  <c r="M75" i="51"/>
  <c r="K75" i="51"/>
  <c r="I75" i="51"/>
  <c r="G75" i="51"/>
  <c r="E75" i="51"/>
  <c r="C75" i="51"/>
  <c r="AW54" i="51"/>
  <c r="AU54" i="51"/>
  <c r="AS54" i="51"/>
  <c r="AQ54" i="51"/>
  <c r="AO54" i="51"/>
  <c r="AM54" i="51"/>
  <c r="AK54" i="51"/>
  <c r="AI54" i="51"/>
  <c r="AG54" i="51"/>
  <c r="AE54" i="51"/>
  <c r="AC54" i="51"/>
  <c r="AA54" i="51"/>
  <c r="Y54" i="51"/>
  <c r="W54" i="51"/>
  <c r="U54" i="51"/>
  <c r="S54" i="51"/>
  <c r="Q54" i="51"/>
  <c r="O54" i="51"/>
  <c r="M54" i="51"/>
  <c r="K54" i="51"/>
  <c r="I54" i="51"/>
  <c r="G54" i="51"/>
  <c r="E54" i="51"/>
  <c r="C54" i="51"/>
  <c r="AW37" i="51"/>
  <c r="AU37" i="51"/>
  <c r="AS37" i="51"/>
  <c r="AQ37" i="51"/>
  <c r="AO37" i="51"/>
  <c r="AM37" i="51"/>
  <c r="AK37" i="51"/>
  <c r="AI37" i="51"/>
  <c r="AG37" i="51"/>
  <c r="AE37" i="51"/>
  <c r="AC37" i="51"/>
  <c r="AA37" i="51"/>
  <c r="Y37" i="51"/>
  <c r="W37" i="51"/>
  <c r="U37" i="51"/>
  <c r="S37" i="51"/>
  <c r="Q37" i="51"/>
  <c r="O37" i="51"/>
  <c r="M37" i="51"/>
  <c r="K37" i="51"/>
  <c r="I37" i="51"/>
  <c r="G37" i="51"/>
  <c r="E37" i="51"/>
  <c r="C37" i="51"/>
  <c r="AW20" i="51"/>
  <c r="AU20" i="51"/>
  <c r="AS20" i="51"/>
  <c r="AQ20" i="51"/>
  <c r="AO20" i="51"/>
  <c r="AM20" i="51"/>
  <c r="AK20" i="51"/>
  <c r="AI20" i="51"/>
  <c r="AG20" i="51"/>
  <c r="AE20" i="51"/>
  <c r="AC20" i="51"/>
  <c r="AA20" i="51"/>
  <c r="Y20" i="51"/>
  <c r="W20" i="51"/>
  <c r="U20" i="51"/>
  <c r="S20" i="51"/>
  <c r="Q20" i="51"/>
  <c r="O20" i="51"/>
  <c r="M20" i="51"/>
  <c r="K20" i="51"/>
  <c r="I20" i="51"/>
  <c r="G20" i="51"/>
  <c r="E20" i="51"/>
  <c r="C20" i="51"/>
  <c r="AA56" i="17" l="1"/>
  <c r="AC40" i="17" s="1"/>
  <c r="AC25" i="17"/>
  <c r="AC26" i="17"/>
  <c r="P23" i="52"/>
  <c r="AF23" i="52"/>
  <c r="AV23" i="52"/>
  <c r="AC21" i="17" l="1"/>
  <c r="AC9" i="17"/>
  <c r="AC17" i="17"/>
  <c r="AC37" i="17"/>
  <c r="AC38" i="17"/>
  <c r="AC14" i="17"/>
  <c r="AC18" i="17"/>
  <c r="AC50" i="17"/>
  <c r="AC34" i="17"/>
  <c r="AC30" i="17"/>
  <c r="AC46" i="17"/>
  <c r="AC42" i="17"/>
  <c r="AC22" i="17"/>
  <c r="AC10" i="17"/>
  <c r="AC54" i="17"/>
  <c r="AC45" i="17"/>
  <c r="AC49" i="17"/>
  <c r="AC29" i="17"/>
  <c r="AC33" i="17"/>
  <c r="AC13" i="17"/>
  <c r="AC41" i="17"/>
  <c r="AC53" i="17"/>
  <c r="AC44" i="17"/>
  <c r="AC48" i="17"/>
  <c r="AC16" i="17"/>
  <c r="AC52" i="17"/>
  <c r="AC8" i="17"/>
  <c r="AC12" i="17"/>
  <c r="AC32" i="17"/>
  <c r="AC36" i="17"/>
  <c r="AC24" i="17"/>
  <c r="AC28" i="17"/>
  <c r="AC20" i="17"/>
  <c r="M25" i="40"/>
  <c r="AC58" i="17" l="1"/>
  <c r="AC57" i="17"/>
  <c r="AC56" i="17"/>
  <c r="S26" i="46"/>
  <c r="Q26" i="46"/>
  <c r="O26" i="46"/>
  <c r="S24" i="46"/>
  <c r="Q24" i="46"/>
  <c r="O24" i="46"/>
  <c r="S23" i="46"/>
  <c r="Q23" i="46"/>
  <c r="O23" i="46"/>
  <c r="S22" i="46"/>
  <c r="Q22" i="46"/>
  <c r="O22" i="46"/>
  <c r="S21" i="46"/>
  <c r="Q21" i="46"/>
  <c r="O21" i="46"/>
  <c r="S20" i="46"/>
  <c r="Q20" i="46"/>
  <c r="O20" i="46"/>
  <c r="S19" i="46"/>
  <c r="Q19" i="46"/>
  <c r="O19" i="46"/>
  <c r="S18" i="46"/>
  <c r="Q18" i="46"/>
  <c r="O18" i="46"/>
  <c r="S17" i="46"/>
  <c r="Q17" i="46"/>
  <c r="O17" i="46"/>
  <c r="S16" i="46"/>
  <c r="Q16" i="46"/>
  <c r="O16" i="46"/>
  <c r="S15" i="46"/>
  <c r="Q15" i="46"/>
  <c r="O15" i="46"/>
  <c r="S14" i="46"/>
  <c r="Q14" i="46"/>
  <c r="O14" i="46"/>
  <c r="S13" i="46"/>
  <c r="Q13" i="46"/>
  <c r="O13" i="46"/>
  <c r="S12" i="46"/>
  <c r="Q12" i="46"/>
  <c r="O12" i="46"/>
  <c r="S11" i="46"/>
  <c r="Q11" i="46"/>
  <c r="O11" i="46"/>
  <c r="S10" i="46"/>
  <c r="Q10" i="46"/>
  <c r="O10" i="46"/>
  <c r="S9" i="46"/>
  <c r="Q9" i="46"/>
  <c r="O9" i="46"/>
  <c r="S8" i="46"/>
  <c r="Q8" i="46"/>
  <c r="O8" i="46"/>
  <c r="AW22" i="49"/>
  <c r="AQ22" i="49"/>
  <c r="AK22" i="49"/>
  <c r="AE22" i="49"/>
  <c r="Y22" i="49"/>
  <c r="S22" i="49"/>
  <c r="M22" i="49"/>
  <c r="G22" i="49"/>
  <c r="AU22" i="49"/>
  <c r="AO22" i="49"/>
  <c r="AI22" i="49"/>
  <c r="AC22" i="49"/>
  <c r="W22" i="49"/>
  <c r="Q22" i="49"/>
  <c r="K22" i="49"/>
  <c r="E22" i="49"/>
  <c r="AS22" i="49"/>
  <c r="AM22" i="49"/>
  <c r="AG22" i="49"/>
  <c r="AA22" i="49"/>
  <c r="U22" i="49"/>
  <c r="O22" i="49"/>
  <c r="I22" i="49"/>
  <c r="C22" i="49"/>
  <c r="S27" i="42"/>
  <c r="M27" i="42"/>
  <c r="G27" i="42"/>
  <c r="S25" i="42"/>
  <c r="M25" i="42"/>
  <c r="G25" i="42"/>
  <c r="S24" i="42"/>
  <c r="M24" i="42"/>
  <c r="G24" i="42"/>
  <c r="S23" i="42"/>
  <c r="M23" i="42"/>
  <c r="G23" i="42"/>
  <c r="S22" i="42"/>
  <c r="M22" i="42"/>
  <c r="G22" i="42"/>
  <c r="S21" i="42"/>
  <c r="M21" i="42"/>
  <c r="G21" i="42"/>
  <c r="S20" i="42"/>
  <c r="M20" i="42"/>
  <c r="G20" i="42"/>
  <c r="S19" i="42"/>
  <c r="M19" i="42"/>
  <c r="G19" i="42"/>
  <c r="S18" i="42"/>
  <c r="M18" i="42"/>
  <c r="G18" i="42"/>
  <c r="S17" i="42"/>
  <c r="M17" i="42"/>
  <c r="G17" i="42"/>
  <c r="S16" i="42"/>
  <c r="M16" i="42"/>
  <c r="G16" i="42"/>
  <c r="S15" i="42"/>
  <c r="M15" i="42"/>
  <c r="G15" i="42"/>
  <c r="S14" i="42"/>
  <c r="M14" i="42"/>
  <c r="G14" i="42"/>
  <c r="S13" i="42"/>
  <c r="M13" i="42"/>
  <c r="G13" i="42"/>
  <c r="S12" i="42"/>
  <c r="M12" i="42"/>
  <c r="G12" i="42"/>
  <c r="S11" i="42"/>
  <c r="M11" i="42"/>
  <c r="G11" i="42"/>
  <c r="S10" i="42"/>
  <c r="M10" i="42"/>
  <c r="G10" i="42"/>
  <c r="S9" i="42"/>
  <c r="M9" i="42"/>
  <c r="G9" i="42"/>
  <c r="S27" i="44"/>
  <c r="M27" i="44"/>
  <c r="G27" i="44"/>
  <c r="S25" i="44"/>
  <c r="M25" i="44"/>
  <c r="G25" i="44"/>
  <c r="S24" i="44"/>
  <c r="M24" i="44"/>
  <c r="G24" i="44"/>
  <c r="S23" i="44"/>
  <c r="M23" i="44"/>
  <c r="G23" i="44"/>
  <c r="S22" i="44"/>
  <c r="M22" i="44"/>
  <c r="G22" i="44"/>
  <c r="S21" i="44"/>
  <c r="M21" i="44"/>
  <c r="G21" i="44"/>
  <c r="S20" i="44"/>
  <c r="M20" i="44"/>
  <c r="G20" i="44"/>
  <c r="S19" i="44"/>
  <c r="M19" i="44"/>
  <c r="G19" i="44"/>
  <c r="S18" i="44"/>
  <c r="M18" i="44"/>
  <c r="G18" i="44"/>
  <c r="S17" i="44"/>
  <c r="M17" i="44"/>
  <c r="G17" i="44"/>
  <c r="S16" i="44"/>
  <c r="M16" i="44"/>
  <c r="G16" i="44"/>
  <c r="S15" i="44"/>
  <c r="M15" i="44"/>
  <c r="G15" i="44"/>
  <c r="S14" i="44"/>
  <c r="M14" i="44"/>
  <c r="G14" i="44"/>
  <c r="S13" i="44"/>
  <c r="M13" i="44"/>
  <c r="G13" i="44"/>
  <c r="S12" i="44"/>
  <c r="M12" i="44"/>
  <c r="G12" i="44"/>
  <c r="S11" i="44"/>
  <c r="M11" i="44"/>
  <c r="G11" i="44"/>
  <c r="S10" i="44"/>
  <c r="M10" i="44"/>
  <c r="G10" i="44"/>
  <c r="S9" i="44"/>
  <c r="M9" i="44"/>
  <c r="G9" i="44"/>
  <c r="G26" i="39"/>
  <c r="G24" i="39"/>
  <c r="G23" i="39"/>
  <c r="G22" i="39"/>
  <c r="G21" i="39"/>
  <c r="G20" i="39"/>
  <c r="G19" i="39"/>
  <c r="G18" i="39"/>
  <c r="G17" i="39"/>
  <c r="G16" i="39"/>
  <c r="G15" i="39"/>
  <c r="G14" i="39"/>
  <c r="G13" i="39"/>
  <c r="G12" i="39"/>
  <c r="G11" i="39"/>
  <c r="G10" i="39"/>
  <c r="G9" i="39"/>
  <c r="G8" i="39"/>
  <c r="G8" i="37"/>
  <c r="G9" i="37"/>
  <c r="G10" i="37"/>
  <c r="G11" i="37"/>
  <c r="G12" i="37"/>
  <c r="G13" i="37"/>
  <c r="G14" i="37"/>
  <c r="G15" i="37"/>
  <c r="G16" i="37"/>
  <c r="G17" i="37"/>
  <c r="G18" i="37"/>
  <c r="G19" i="37"/>
  <c r="G20" i="37"/>
  <c r="G21" i="37"/>
  <c r="G22" i="37"/>
  <c r="G23" i="37"/>
  <c r="G24" i="37"/>
  <c r="G25" i="37"/>
  <c r="G26" i="37"/>
  <c r="G27" i="37"/>
  <c r="G28" i="37"/>
  <c r="G29" i="37"/>
  <c r="G30" i="37"/>
  <c r="G31" i="37"/>
  <c r="G33" i="37"/>
  <c r="G7" i="37"/>
  <c r="S33" i="37"/>
  <c r="M33" i="37"/>
  <c r="S31" i="37"/>
  <c r="M31" i="37"/>
  <c r="S30" i="37"/>
  <c r="M30" i="37"/>
  <c r="S29" i="37"/>
  <c r="M29" i="37"/>
  <c r="S28" i="37"/>
  <c r="M28" i="37"/>
  <c r="S27" i="37"/>
  <c r="M27" i="37"/>
  <c r="S26" i="37"/>
  <c r="M26" i="37"/>
  <c r="S25" i="37"/>
  <c r="M25" i="37"/>
  <c r="S24" i="37"/>
  <c r="M24" i="37"/>
  <c r="S23" i="37"/>
  <c r="M23" i="37"/>
  <c r="S22" i="37"/>
  <c r="M22" i="37"/>
  <c r="S21" i="37"/>
  <c r="M21" i="37"/>
  <c r="S20" i="37"/>
  <c r="M20" i="37"/>
  <c r="S19" i="37"/>
  <c r="M19" i="37"/>
  <c r="S18" i="37"/>
  <c r="M18" i="37"/>
  <c r="S17" i="37"/>
  <c r="M17" i="37"/>
  <c r="S16" i="37"/>
  <c r="M16" i="37"/>
  <c r="S15" i="37"/>
  <c r="M15" i="37"/>
  <c r="S14" i="37"/>
  <c r="M14" i="37"/>
  <c r="S13" i="37"/>
  <c r="M13" i="37"/>
  <c r="S12" i="37"/>
  <c r="M12" i="37"/>
  <c r="S11" i="37"/>
  <c r="M11" i="37"/>
  <c r="S10" i="37"/>
  <c r="M10" i="37"/>
  <c r="S9" i="37"/>
  <c r="M9" i="37"/>
  <c r="S8" i="37"/>
  <c r="M8" i="37"/>
  <c r="S7" i="37"/>
  <c r="M7" i="37"/>
  <c r="M15" i="6"/>
  <c r="G17" i="6"/>
  <c r="I16" i="6" s="1"/>
  <c r="I13" i="6" l="1"/>
  <c r="I10" i="6"/>
  <c r="I8" i="6"/>
  <c r="I15" i="6"/>
  <c r="I9" i="6"/>
  <c r="M12" i="6"/>
  <c r="I12" i="6"/>
  <c r="M14" i="6"/>
  <c r="I14" i="6"/>
  <c r="I11" i="6"/>
  <c r="M11" i="6"/>
  <c r="Q15" i="41"/>
  <c r="O15" i="41"/>
  <c r="M15" i="41"/>
  <c r="K15" i="41"/>
  <c r="I15" i="41"/>
  <c r="G15" i="41"/>
  <c r="E15" i="41"/>
  <c r="S15" i="41"/>
  <c r="M17" i="6" l="1"/>
  <c r="I17" i="6"/>
  <c r="H20" i="24"/>
  <c r="F20" i="24"/>
  <c r="D20" i="24"/>
  <c r="Q21" i="15"/>
  <c r="O21" i="15"/>
  <c r="M20" i="15"/>
  <c r="G20" i="15"/>
  <c r="M19" i="15"/>
  <c r="M18" i="15"/>
  <c r="G18" i="15"/>
  <c r="G17" i="15"/>
  <c r="G15" i="15"/>
  <c r="G14" i="15"/>
  <c r="G13" i="15"/>
  <c r="T12" i="15"/>
  <c r="M12" i="15"/>
  <c r="G12" i="15"/>
  <c r="T11" i="15"/>
  <c r="M11" i="15"/>
  <c r="G11" i="15"/>
  <c r="T10" i="15"/>
  <c r="M10" i="15"/>
  <c r="G10" i="15"/>
  <c r="T9" i="15"/>
  <c r="T21" i="15" s="1"/>
  <c r="P9" i="15" s="1"/>
  <c r="M9" i="15"/>
  <c r="K37" i="12"/>
  <c r="H37" i="12"/>
  <c r="E37" i="12"/>
  <c r="K36" i="12"/>
  <c r="H36" i="12"/>
  <c r="E36" i="12"/>
  <c r="K35" i="12"/>
  <c r="H35" i="12"/>
  <c r="E35" i="12"/>
  <c r="K34" i="12"/>
  <c r="H34" i="12"/>
  <c r="E34" i="12"/>
  <c r="K33" i="12"/>
  <c r="H33" i="12"/>
  <c r="E33" i="12"/>
  <c r="K32" i="12"/>
  <c r="H32" i="12"/>
  <c r="E32" i="12"/>
  <c r="K31" i="12"/>
  <c r="H31" i="12"/>
  <c r="E31" i="12"/>
  <c r="K30" i="12"/>
  <c r="H30" i="12"/>
  <c r="E30" i="12"/>
  <c r="K29" i="12"/>
  <c r="H29" i="12"/>
  <c r="E29" i="12"/>
  <c r="K28" i="12"/>
  <c r="H28" i="12"/>
  <c r="E28" i="12"/>
  <c r="K27" i="12"/>
  <c r="H27" i="12"/>
  <c r="E27" i="12"/>
  <c r="K26" i="12"/>
  <c r="H26" i="12"/>
  <c r="E26" i="12"/>
  <c r="K25" i="12"/>
  <c r="H25" i="12"/>
  <c r="E25" i="12"/>
  <c r="K24" i="12"/>
  <c r="H24" i="12"/>
  <c r="E24" i="12"/>
  <c r="K23" i="12"/>
  <c r="H23" i="12"/>
  <c r="E23" i="12"/>
  <c r="K22" i="12"/>
  <c r="H22" i="12"/>
  <c r="E22" i="12"/>
  <c r="K21" i="12"/>
  <c r="H21" i="12"/>
  <c r="E21" i="12"/>
  <c r="K20" i="12"/>
  <c r="H20" i="12"/>
  <c r="E20" i="12"/>
  <c r="K19" i="12"/>
  <c r="H19" i="12"/>
  <c r="E19" i="12"/>
  <c r="K18" i="12"/>
  <c r="H18" i="12"/>
  <c r="E18" i="12"/>
  <c r="K17" i="12"/>
  <c r="H17" i="12"/>
  <c r="E17" i="12"/>
  <c r="K16" i="12"/>
  <c r="H16" i="12"/>
  <c r="E16" i="12"/>
  <c r="K15" i="12"/>
  <c r="H15" i="12"/>
  <c r="E15" i="12"/>
  <c r="K14" i="12"/>
  <c r="H14" i="12"/>
  <c r="E14" i="12"/>
  <c r="K13" i="12"/>
  <c r="H13" i="12"/>
  <c r="E13" i="12"/>
  <c r="K12" i="12"/>
  <c r="H12" i="12"/>
  <c r="E12" i="12"/>
  <c r="K11" i="12"/>
  <c r="H11" i="12"/>
  <c r="E11" i="12"/>
  <c r="K10" i="12"/>
  <c r="H10" i="12"/>
  <c r="E10" i="12"/>
  <c r="K9" i="12"/>
  <c r="H9" i="12"/>
  <c r="E9" i="12"/>
  <c r="K8" i="12"/>
  <c r="H8" i="12"/>
  <c r="E8" i="12"/>
  <c r="K7" i="12"/>
  <c r="H7" i="12"/>
  <c r="E7" i="12"/>
  <c r="K16" i="10"/>
  <c r="G16" i="10"/>
  <c r="C16" i="10"/>
  <c r="M8" i="40"/>
  <c r="M26" i="40"/>
  <c r="M24" i="40"/>
  <c r="M23" i="40"/>
  <c r="M22" i="40"/>
  <c r="M21" i="40"/>
  <c r="M20" i="40"/>
  <c r="M19" i="40"/>
  <c r="M18" i="40"/>
  <c r="M17" i="40"/>
  <c r="M16" i="40"/>
  <c r="M15" i="40"/>
  <c r="M14" i="40"/>
  <c r="M13" i="40"/>
  <c r="M12" i="40"/>
  <c r="M11" i="40"/>
  <c r="M10" i="40"/>
  <c r="M9" i="40"/>
  <c r="M23" i="7"/>
  <c r="G28" i="7"/>
  <c r="C28" i="7"/>
  <c r="K10" i="7"/>
  <c r="G10" i="7"/>
  <c r="I7" i="7" s="1"/>
  <c r="C10" i="7"/>
  <c r="E7" i="7" s="1"/>
  <c r="K21" i="14"/>
  <c r="M20" i="14" s="1"/>
  <c r="G21" i="14"/>
  <c r="I19" i="14" s="1"/>
  <c r="C21" i="14"/>
  <c r="E20" i="14" s="1"/>
  <c r="K9" i="14"/>
  <c r="M8" i="14" s="1"/>
  <c r="G9" i="14"/>
  <c r="I7" i="14" s="1"/>
  <c r="C9" i="14"/>
  <c r="E8" i="14" s="1"/>
  <c r="G16" i="3"/>
  <c r="C16" i="3"/>
  <c r="M21" i="15" l="1"/>
  <c r="I24" i="7"/>
  <c r="I25" i="7"/>
  <c r="E26" i="7"/>
  <c r="E25" i="7"/>
  <c r="G21" i="15"/>
  <c r="D16" i="15" s="1"/>
  <c r="M12" i="10"/>
  <c r="M13" i="10"/>
  <c r="M14" i="10"/>
  <c r="I10" i="10"/>
  <c r="I14" i="10"/>
  <c r="E14" i="10"/>
  <c r="M10" i="3"/>
  <c r="M9" i="3"/>
  <c r="M8" i="3"/>
  <c r="I14" i="3"/>
  <c r="I9" i="3"/>
  <c r="I10" i="3"/>
  <c r="I8" i="3"/>
  <c r="I7" i="3"/>
  <c r="E9" i="3"/>
  <c r="E8" i="3"/>
  <c r="E7" i="3"/>
  <c r="E11" i="3"/>
  <c r="E10" i="3"/>
  <c r="M9" i="7"/>
  <c r="M7" i="7"/>
  <c r="M7" i="10"/>
  <c r="M8" i="10"/>
  <c r="E9" i="7"/>
  <c r="E8" i="7"/>
  <c r="M9" i="10"/>
  <c r="M26" i="7"/>
  <c r="E23" i="7"/>
  <c r="I13" i="3"/>
  <c r="E12" i="3"/>
  <c r="E14" i="3"/>
  <c r="M7" i="3"/>
  <c r="M13" i="3"/>
  <c r="M14" i="3"/>
  <c r="I20" i="14"/>
  <c r="I21" i="14" s="1"/>
  <c r="E24" i="7"/>
  <c r="M10" i="10"/>
  <c r="M8" i="7"/>
  <c r="M7" i="14"/>
  <c r="M9" i="14" s="1"/>
  <c r="I26" i="7"/>
  <c r="I8" i="10"/>
  <c r="E19" i="14"/>
  <c r="E21" i="14" s="1"/>
  <c r="M12" i="3"/>
  <c r="E7" i="14"/>
  <c r="E9" i="14" s="1"/>
  <c r="M19" i="14"/>
  <c r="M21" i="14" s="1"/>
  <c r="I23" i="7"/>
  <c r="I8" i="14"/>
  <c r="I9" i="14" s="1"/>
  <c r="E12" i="10"/>
  <c r="I9" i="7"/>
  <c r="N9" i="13"/>
  <c r="G10" i="13"/>
  <c r="V10" i="13"/>
  <c r="N11" i="13"/>
  <c r="V12" i="13"/>
  <c r="G14" i="13"/>
  <c r="V14" i="13"/>
  <c r="N15" i="13"/>
  <c r="V16" i="13"/>
  <c r="N17" i="13"/>
  <c r="G18" i="13"/>
  <c r="V18" i="13"/>
  <c r="N19" i="13"/>
  <c r="G20" i="13"/>
  <c r="V20" i="13"/>
  <c r="G12" i="13"/>
  <c r="N13" i="13"/>
  <c r="V9" i="13"/>
  <c r="N12" i="13"/>
  <c r="V13" i="13"/>
  <c r="G15" i="13"/>
  <c r="G17" i="13"/>
  <c r="N20" i="13"/>
  <c r="G9" i="13"/>
  <c r="N10" i="13"/>
  <c r="G11" i="13"/>
  <c r="V11" i="13"/>
  <c r="G13" i="13"/>
  <c r="N14" i="13"/>
  <c r="V15" i="13"/>
  <c r="N16" i="13"/>
  <c r="V17" i="13"/>
  <c r="N18" i="13"/>
  <c r="V19" i="13"/>
  <c r="E8" i="10"/>
  <c r="E9" i="10"/>
  <c r="E11" i="10"/>
  <c r="E13" i="10"/>
  <c r="E7" i="10"/>
  <c r="I7" i="10"/>
  <c r="I13" i="10"/>
  <c r="E10" i="10"/>
  <c r="I11" i="10"/>
  <c r="I12" i="10"/>
  <c r="I9" i="10"/>
  <c r="M11" i="10"/>
  <c r="I8" i="7"/>
  <c r="M24" i="7"/>
  <c r="I12" i="3"/>
  <c r="I11" i="3"/>
  <c r="M11" i="3"/>
  <c r="E13" i="3"/>
  <c r="P11" i="15" l="1"/>
  <c r="P12" i="15"/>
  <c r="J12" i="15"/>
  <c r="J11" i="15"/>
  <c r="J14" i="15"/>
  <c r="J16" i="15"/>
  <c r="S15" i="15"/>
  <c r="P16" i="15"/>
  <c r="P14" i="15"/>
  <c r="E28" i="7"/>
  <c r="G22" i="13"/>
  <c r="V22" i="13"/>
  <c r="N22" i="13"/>
  <c r="F13" i="15"/>
  <c r="F16" i="15"/>
  <c r="D19" i="15"/>
  <c r="F19" i="15"/>
  <c r="E10" i="7"/>
  <c r="M10" i="7"/>
  <c r="P13" i="15"/>
  <c r="S9" i="15"/>
  <c r="S20" i="15"/>
  <c r="S14" i="15"/>
  <c r="P15" i="15"/>
  <c r="U15" i="15" s="1"/>
  <c r="S10" i="15"/>
  <c r="S16" i="15"/>
  <c r="P10" i="15"/>
  <c r="P17" i="15"/>
  <c r="S11" i="15"/>
  <c r="S18" i="15"/>
  <c r="P18" i="15"/>
  <c r="S13" i="15"/>
  <c r="S19" i="15"/>
  <c r="D10" i="15"/>
  <c r="D11" i="15"/>
  <c r="D20" i="15"/>
  <c r="D12" i="15"/>
  <c r="F14" i="15"/>
  <c r="D18" i="15"/>
  <c r="F15" i="15"/>
  <c r="M28" i="7"/>
  <c r="M16" i="3"/>
  <c r="M16" i="10"/>
  <c r="P20" i="15"/>
  <c r="S17" i="15"/>
  <c r="D13" i="15"/>
  <c r="F9" i="15"/>
  <c r="F17" i="15"/>
  <c r="E16" i="3"/>
  <c r="D14" i="15"/>
  <c r="F10" i="15"/>
  <c r="F18" i="15"/>
  <c r="D15" i="15"/>
  <c r="I16" i="3"/>
  <c r="F12" i="15"/>
  <c r="F20" i="15"/>
  <c r="F11" i="15"/>
  <c r="I10" i="7"/>
  <c r="S12" i="15"/>
  <c r="D9" i="15"/>
  <c r="D17" i="15"/>
  <c r="E16" i="10"/>
  <c r="I28" i="7"/>
  <c r="M10" i="2"/>
  <c r="M9" i="2" s="1"/>
  <c r="P19" i="15"/>
  <c r="I16" i="10"/>
  <c r="S21" i="15" l="1"/>
  <c r="D21" i="15"/>
  <c r="H13" i="15"/>
  <c r="F19" i="13"/>
  <c r="D19" i="13"/>
  <c r="F16" i="13"/>
  <c r="D16" i="13"/>
  <c r="U9" i="15"/>
  <c r="U10" i="15"/>
  <c r="K10" i="13"/>
  <c r="K9" i="13"/>
  <c r="U16" i="15"/>
  <c r="U17" i="15"/>
  <c r="H15" i="15"/>
  <c r="U11" i="15"/>
  <c r="H20" i="15"/>
  <c r="U13" i="15"/>
  <c r="U12" i="15"/>
  <c r="U18" i="15"/>
  <c r="H16" i="15"/>
  <c r="E15" i="2"/>
  <c r="U14" i="15"/>
  <c r="P21" i="15"/>
  <c r="U19" i="15"/>
  <c r="U20" i="15"/>
  <c r="H12" i="15"/>
  <c r="H10" i="15"/>
  <c r="H19" i="15"/>
  <c r="H18" i="15"/>
  <c r="H11" i="15"/>
  <c r="H14" i="15"/>
  <c r="H9" i="15"/>
  <c r="M16" i="2"/>
  <c r="M15" i="2" s="1"/>
  <c r="M8" i="2"/>
  <c r="M7" i="2" s="1"/>
  <c r="M17" i="2" s="1"/>
  <c r="F21" i="15"/>
  <c r="H17" i="15"/>
  <c r="E7" i="2"/>
  <c r="E9" i="2"/>
  <c r="U9" i="13"/>
  <c r="U17" i="13"/>
  <c r="R16" i="13"/>
  <c r="U12" i="13"/>
  <c r="U20" i="13"/>
  <c r="R13" i="13"/>
  <c r="U15" i="13"/>
  <c r="R14" i="13"/>
  <c r="U10" i="13"/>
  <c r="U18" i="13"/>
  <c r="R11" i="13"/>
  <c r="R19" i="13"/>
  <c r="U13" i="13"/>
  <c r="R12" i="13"/>
  <c r="R20" i="13"/>
  <c r="U16" i="13"/>
  <c r="R9" i="13"/>
  <c r="R17" i="13"/>
  <c r="U11" i="13"/>
  <c r="U19" i="13"/>
  <c r="R10" i="13"/>
  <c r="R18" i="13"/>
  <c r="U14" i="13"/>
  <c r="R15" i="13"/>
  <c r="M12" i="13"/>
  <c r="M20" i="13"/>
  <c r="K11" i="13"/>
  <c r="K19" i="13"/>
  <c r="M15" i="13"/>
  <c r="M10" i="13"/>
  <c r="M18" i="13"/>
  <c r="K17" i="13"/>
  <c r="M13" i="13"/>
  <c r="K14" i="13"/>
  <c r="M16" i="13"/>
  <c r="K15" i="13"/>
  <c r="M11" i="13"/>
  <c r="M19" i="13"/>
  <c r="K12" i="13"/>
  <c r="K20" i="13"/>
  <c r="M14" i="13"/>
  <c r="K13" i="13"/>
  <c r="M9" i="13"/>
  <c r="M17" i="13"/>
  <c r="K18" i="13"/>
  <c r="K16" i="13"/>
  <c r="F12" i="13"/>
  <c r="F15" i="13"/>
  <c r="D14" i="13"/>
  <c r="F10" i="13"/>
  <c r="F18" i="13"/>
  <c r="D11" i="13"/>
  <c r="F13" i="13"/>
  <c r="D12" i="13"/>
  <c r="D20" i="13"/>
  <c r="D9" i="13"/>
  <c r="D17" i="13"/>
  <c r="F11" i="13"/>
  <c r="D10" i="13"/>
  <c r="D18" i="13"/>
  <c r="F14" i="13"/>
  <c r="D15" i="13"/>
  <c r="F9" i="13"/>
  <c r="F17" i="13"/>
  <c r="F20" i="13"/>
  <c r="D13" i="13"/>
  <c r="E17" i="2" l="1"/>
  <c r="K22" i="13"/>
  <c r="H16" i="13"/>
  <c r="H13" i="13"/>
  <c r="O15" i="13"/>
  <c r="O18" i="13"/>
  <c r="O16" i="13"/>
  <c r="H10" i="13"/>
  <c r="U21" i="15"/>
  <c r="H21" i="15"/>
  <c r="W17" i="13"/>
  <c r="H12" i="13"/>
  <c r="H18" i="13"/>
  <c r="W20" i="13"/>
  <c r="W18" i="13"/>
  <c r="O10" i="13"/>
  <c r="W10" i="13"/>
  <c r="H15" i="13"/>
  <c r="O13" i="13"/>
  <c r="W12" i="13"/>
  <c r="W13" i="13"/>
  <c r="H14" i="13"/>
  <c r="O14" i="13"/>
  <c r="O11" i="13"/>
  <c r="W16" i="13"/>
  <c r="H19" i="13"/>
  <c r="W11" i="13"/>
  <c r="H20" i="13"/>
  <c r="H11" i="13"/>
  <c r="H17" i="13"/>
  <c r="O20" i="13"/>
  <c r="O17" i="13"/>
  <c r="R22" i="13"/>
  <c r="W9" i="13"/>
  <c r="U22" i="13"/>
  <c r="F22" i="13"/>
  <c r="D22" i="13"/>
  <c r="H9" i="13"/>
  <c r="M22" i="13"/>
  <c r="O12" i="13"/>
  <c r="O9" i="13"/>
  <c r="O19" i="13"/>
  <c r="W15" i="13"/>
  <c r="W19" i="13"/>
  <c r="W14" i="13"/>
  <c r="H22" i="13" l="1"/>
  <c r="O22" i="13"/>
  <c r="W22" i="13"/>
  <c r="L16" i="15" l="1"/>
  <c r="J10" i="15"/>
  <c r="L14" i="15"/>
  <c r="L12" i="15"/>
  <c r="L19" i="15"/>
  <c r="J15" i="15"/>
  <c r="J17" i="15"/>
  <c r="L15" i="15"/>
  <c r="J13" i="15"/>
  <c r="J18" i="15"/>
  <c r="L13" i="15"/>
  <c r="L11" i="15"/>
  <c r="L9" i="15"/>
  <c r="L10" i="15"/>
  <c r="N10" i="15" s="1"/>
  <c r="L17" i="15"/>
  <c r="L20" i="15"/>
  <c r="J19" i="15"/>
  <c r="J20" i="15"/>
  <c r="N16" i="15"/>
  <c r="L18" i="15"/>
  <c r="N12" i="15" l="1"/>
  <c r="N14" i="15"/>
  <c r="N20" i="15"/>
  <c r="N17" i="15"/>
  <c r="N9" i="15"/>
  <c r="J21" i="15"/>
  <c r="N15" i="15"/>
  <c r="N19" i="15"/>
  <c r="L21" i="15"/>
  <c r="N11" i="15"/>
  <c r="N18" i="15"/>
  <c r="N13" i="15"/>
  <c r="N21"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Marlene Echegaray Escate</author>
  </authors>
  <commentList>
    <comment ref="G6" authorId="0" shapeId="0" xr:uid="{0DF3025B-F0E8-4CF1-8334-E4C0B839DE56}">
      <text>
        <r>
          <rPr>
            <b/>
            <sz val="9"/>
            <color indexed="81"/>
            <rFont val="Tahoma"/>
            <family val="2"/>
          </rPr>
          <t>Marlene Echegaray Escate:</t>
        </r>
        <r>
          <rPr>
            <sz val="9"/>
            <color indexed="81"/>
            <rFont val="Tahoma"/>
            <family val="2"/>
          </rPr>
          <t xml:space="preserve">
</t>
        </r>
      </text>
    </comment>
  </commentList>
</comments>
</file>

<file path=xl/sharedStrings.xml><?xml version="1.0" encoding="utf-8"?>
<sst xmlns="http://schemas.openxmlformats.org/spreadsheetml/2006/main" count="1425" uniqueCount="347">
  <si>
    <t>ANEXO N° 01</t>
  </si>
  <si>
    <t>AÑOS</t>
  </si>
  <si>
    <t>HUELGAS</t>
  </si>
  <si>
    <t>ANEXO N° 02</t>
  </si>
  <si>
    <t>CAUSAS</t>
  </si>
  <si>
    <t>%</t>
  </si>
  <si>
    <t>TOTAL</t>
  </si>
  <si>
    <t>ANEXO N° 03</t>
  </si>
  <si>
    <t>-</t>
  </si>
  <si>
    <t>ANEXO N° 04</t>
  </si>
  <si>
    <t>PLAZOS</t>
  </si>
  <si>
    <t>TRABAJADORES  COMPRENDIDOS</t>
  </si>
  <si>
    <t>HORAS - HOMBRE PERDIDAS</t>
  </si>
  <si>
    <t>INDEFINIDO</t>
  </si>
  <si>
    <t>DETERMINADO</t>
  </si>
  <si>
    <t>TRABAJADORES COMPRENDIDOS</t>
  </si>
  <si>
    <t>HORAS-HOMBRE PERDIDAS</t>
  </si>
  <si>
    <t>ANEXO N° 05</t>
  </si>
  <si>
    <t>PESCA</t>
  </si>
  <si>
    <t>ENSEÑANZA</t>
  </si>
  <si>
    <t>ANEXO N° 06</t>
  </si>
  <si>
    <t>ANEXO N° 07</t>
  </si>
  <si>
    <t>ANEXO N° 08</t>
  </si>
  <si>
    <t>ANEXO N° 09</t>
  </si>
  <si>
    <t>MESES</t>
  </si>
  <si>
    <t>ENERO</t>
  </si>
  <si>
    <t>FEBRERO</t>
  </si>
  <si>
    <t>MARZO</t>
  </si>
  <si>
    <t>ABRIL</t>
  </si>
  <si>
    <t>MAYO</t>
  </si>
  <si>
    <t>JUNIO</t>
  </si>
  <si>
    <t>JULIO</t>
  </si>
  <si>
    <t>AGOSTO</t>
  </si>
  <si>
    <t>SETIEMBRE</t>
  </si>
  <si>
    <t>OCTUBRE</t>
  </si>
  <si>
    <t>NOVIEMBRE</t>
  </si>
  <si>
    <t>DICIEMBRE</t>
  </si>
  <si>
    <t>ANEXO N° 11</t>
  </si>
  <si>
    <t>ANEXO N° 12</t>
  </si>
  <si>
    <t xml:space="preserve"> ENERO</t>
  </si>
  <si>
    <t xml:space="preserve"> FEBRERO</t>
  </si>
  <si>
    <t xml:space="preserve"> MARZO</t>
  </si>
  <si>
    <t xml:space="preserve"> ABRIL</t>
  </si>
  <si>
    <t xml:space="preserve"> JUNIO</t>
  </si>
  <si>
    <t>ANEXO N° 13</t>
  </si>
  <si>
    <t>ANEXO N° 14</t>
  </si>
  <si>
    <t>SERVICIOS SOCIALES Y DE SALUD</t>
  </si>
  <si>
    <t>ANEXO N° 16</t>
  </si>
  <si>
    <t>ANEXO N° 17</t>
  </si>
  <si>
    <t>ANEXO N° 18</t>
  </si>
  <si>
    <t>ANEXO N° 20</t>
  </si>
  <si>
    <t xml:space="preserve"> DICIEMBRE</t>
  </si>
  <si>
    <t xml:space="preserve"> NOVIEMBRE</t>
  </si>
  <si>
    <t xml:space="preserve"> OCTUBRE</t>
  </si>
  <si>
    <t xml:space="preserve"> SETIEMBRE</t>
  </si>
  <si>
    <t xml:space="preserve"> AGOSTO</t>
  </si>
  <si>
    <t xml:space="preserve"> JULIO</t>
  </si>
  <si>
    <t xml:space="preserve">  INDEFINIDO</t>
  </si>
  <si>
    <t xml:space="preserve">  DETERMINADO</t>
  </si>
  <si>
    <t xml:space="preserve">  BIENES DE CONSUMO</t>
  </si>
  <si>
    <t xml:space="preserve">  BIENES DE CAPITAL</t>
  </si>
  <si>
    <t>HORAS - HOMBRE  PERDIDAS</t>
  </si>
  <si>
    <t>*</t>
  </si>
  <si>
    <t>ABSOLUTO</t>
  </si>
  <si>
    <t>PLIEGO RECLAMOS</t>
  </si>
  <si>
    <t>ANEXO N° 19</t>
  </si>
  <si>
    <t xml:space="preserve">HORAS -  HOMBRE PERDIDAS </t>
  </si>
  <si>
    <t>FECHA</t>
  </si>
  <si>
    <t>TRABAJADORES ASISTENTES</t>
  </si>
  <si>
    <t xml:space="preserve">HORA - HOMBRE PERDIDAS </t>
  </si>
  <si>
    <t>Nº DE CIUDADES EVALUADAS</t>
  </si>
  <si>
    <t>CGTP -  CTP</t>
  </si>
  <si>
    <t xml:space="preserve">        1 (LM)</t>
  </si>
  <si>
    <t>CGTP</t>
  </si>
  <si>
    <t>UNITARIO</t>
  </si>
  <si>
    <t xml:space="preserve">          1 (LM)</t>
  </si>
  <si>
    <t>CGTP - CTP - CNT - CATP</t>
  </si>
  <si>
    <t xml:space="preserve"> MAYO  </t>
  </si>
  <si>
    <t xml:space="preserve"> MARZO  </t>
  </si>
  <si>
    <t xml:space="preserve"> MAYO </t>
  </si>
  <si>
    <t xml:space="preserve">TRABAJADORES  COMPRENDIDOS                                                   </t>
  </si>
  <si>
    <t>TRABAJADORES   COMPRENDIDOS</t>
  </si>
  <si>
    <t xml:space="preserve">          ABSOLUTO</t>
  </si>
  <si>
    <t xml:space="preserve">                  ABSOLUTO</t>
  </si>
  <si>
    <t>Continúa…</t>
  </si>
  <si>
    <t>TRABAJADORES                           COMPRENDIDOS</t>
  </si>
  <si>
    <t xml:space="preserve">TOTAL                                                    </t>
  </si>
  <si>
    <t>ANEXO N° 15</t>
  </si>
  <si>
    <t>AGRICULTURA, GANADERIA, CAZA Y SILVICULTURA</t>
  </si>
  <si>
    <t>SUMINISTRO DE ELECTRICIDAD, GAS Y AGUA</t>
  </si>
  <si>
    <t>HOTELES  Y  RESTAURANTES</t>
  </si>
  <si>
    <t>ACTIVIDAD INMOBILIARIA, EMPRESARIAL Y DE ALQUILER</t>
  </si>
  <si>
    <t>PAROS</t>
  </si>
  <si>
    <t>RESTAURANTES Y HOTELES</t>
  </si>
  <si>
    <t xml:space="preserve">TOTAL  </t>
  </si>
  <si>
    <t>ANEXO N° 21</t>
  </si>
  <si>
    <t xml:space="preserve">HORAS - HOMBRE PERDIDAS </t>
  </si>
  <si>
    <t>UN DÍA    (24 HORAS)</t>
  </si>
  <si>
    <t>DOS DÍAS   (48 HORAS)</t>
  </si>
  <si>
    <t>TRES DÍAS  (72 HORAS)</t>
  </si>
  <si>
    <t>CUATRO A SIETE DÍAS</t>
  </si>
  <si>
    <t>OCHO A QUINCE DÍAS</t>
  </si>
  <si>
    <t>USO   O   DESTINO                     ECONÓMICO</t>
  </si>
  <si>
    <t>ORGANIZACIÓN SINDICAL</t>
  </si>
  <si>
    <t>NÚMERO DE TRABAJADORES</t>
  </si>
  <si>
    <t>HUELGAS, TRABAJADORES COMPRENDIDOS Y HORAS - HOMBRE PERDIDAS EN EL SECTOR PRIVADO POR AÑOS, SEGÚN MESES</t>
  </si>
  <si>
    <t>HUELGAS, TRABAJADORES COMPRENDIDOS Y HORAS - HOMBRE PERDIDAS EN EL SECTOR PRIVADO POR CAUSAS, SEGÚN MESES</t>
  </si>
  <si>
    <t>HUELGAS, TRABAJADORES COMPRENDIDOS Y HORAS - HOMBRE PERDIDAS EN EL SECTOR PRIVADO POR AÑOS, SEGÚN ACTIVIDAD ECONÓMICA</t>
  </si>
  <si>
    <t>EXPLOT. DE  MINAS Y CANTERAS, EXTRAC. DE PETRÓLEO</t>
  </si>
  <si>
    <t>CONSTRUCCIÓN</t>
  </si>
  <si>
    <t>INTERMEDIACIÓN FINANCIERA</t>
  </si>
  <si>
    <t>ADMINISTRACIÓN PÚBLICA Y DEFENSA</t>
  </si>
  <si>
    <t>HUELGAS, TRABAJADORES COMPRENDIDOS Y HORAS - HOMBRE PERDIDAS EN EL SECTOR PRIVADO POR ACTIVIDAD ECONÓMICA, SEGÚN MESES</t>
  </si>
  <si>
    <t>ANEXO N° 23</t>
  </si>
  <si>
    <t xml:space="preserve">SINDICATO DE      EMPLEADOS  </t>
  </si>
  <si>
    <t xml:space="preserve">SINDICATO DE OBREROS  </t>
  </si>
  <si>
    <t>ANEXO N° 24</t>
  </si>
  <si>
    <t>NEGOCIACIÓN COLECTIVA</t>
  </si>
  <si>
    <t>INCUMPLIMIENTO DE NORMAS LEGALES Y/O CONVENCIONALES</t>
  </si>
  <si>
    <t>OTROS MOTIVOS</t>
  </si>
  <si>
    <t xml:space="preserve">ABSOLUTO </t>
  </si>
  <si>
    <t>ANEXO N° 22</t>
  </si>
  <si>
    <t>LIMA METROPOLITANA</t>
  </si>
  <si>
    <t xml:space="preserve">ACTIVIDAD ECONÓMICA </t>
  </si>
  <si>
    <t>SINDICATO ÚNICO</t>
  </si>
  <si>
    <t>FEDERACIÓN</t>
  </si>
  <si>
    <t>PARO CÍVICO NACIONAL</t>
  </si>
  <si>
    <t xml:space="preserve">MOVILIZACIÓN DE ORGANISMOS SINDICALES </t>
  </si>
  <si>
    <t>JORNADA CÍVICO NACIONAL</t>
  </si>
  <si>
    <t>MOVIMIENTO CÍVICO NACIONAL</t>
  </si>
  <si>
    <t>CIVÍCO - CGTP</t>
  </si>
  <si>
    <t>INDUSTRIAS MANUFACTURERAS</t>
  </si>
  <si>
    <t>ANEXO N° 10</t>
  </si>
  <si>
    <t>CONFEDERACIÓN</t>
  </si>
  <si>
    <t>SINDICATO DE EMPLEADOS</t>
  </si>
  <si>
    <t>SINDICATO DE OBREROS</t>
  </si>
  <si>
    <t>...Conclusión</t>
  </si>
  <si>
    <t xml:space="preserve">HORAS -  HOMBRE PERDIDAS  </t>
  </si>
  <si>
    <t xml:space="preserve">RESTO NACIONAL     </t>
  </si>
  <si>
    <t>ANEXO N° 25</t>
  </si>
  <si>
    <t xml:space="preserve">  BIENES INTERMEDIOS</t>
  </si>
  <si>
    <t>COMERCIO AL POR MAYOR Y AL POR MENOR</t>
  </si>
  <si>
    <t>OTRAS ACTIV. DE SER. COMUNITARIOS, SOC. Y PERS.</t>
  </si>
  <si>
    <t>DURACIÓN  DE                                  LAS HUELGAS</t>
  </si>
  <si>
    <t>TRANSPORTE,  ALMACENAMIENTO Y COMUNICACIONES</t>
  </si>
  <si>
    <t>PERÚ</t>
  </si>
  <si>
    <t xml:space="preserve">DICIEMBRE </t>
  </si>
  <si>
    <t>EVOLUCIÓN ANUAL POR PLAZOS DE HUELGAS, SEGÚN AÑOS</t>
  </si>
  <si>
    <t>PLAZO</t>
  </si>
  <si>
    <t>PARALIZACIÓN</t>
  </si>
  <si>
    <t>INTEMPESTIVA</t>
  </si>
  <si>
    <t>CON AVISO</t>
  </si>
  <si>
    <t>DE  PLAZO</t>
  </si>
  <si>
    <t>CALIFICACIÓN DE LA HUELGA</t>
  </si>
  <si>
    <t xml:space="preserve"> HUELGAS, TRABAJADORES COMPRENDIDOS Y HORAS - HOMBRE PERDIDAS EN EL SECTOR DE ENERGÍA Y MINAS,  SEGÚN AÑOS</t>
  </si>
  <si>
    <t>MINAS  Y  CANTERAS</t>
  </si>
  <si>
    <t>EXTRACCIÓN  DE  PETRÓLEO</t>
  </si>
  <si>
    <t>TOTALES</t>
  </si>
  <si>
    <t>HUELGAS, TRABAJADORES COMPRENDIDOS Y HORAS - HOMBRE   PERDIDAS EN EL SECTOR PRIVADO, SEGÚN AÑOS</t>
  </si>
  <si>
    <t>OTRAS CAUSAS *</t>
  </si>
  <si>
    <t>HUELGAS, TRABAJADORES COMPRENDIDOS Y HORAS - HOMBRE PERDIDAS EN EL SECTOR PRIVADO POR ACTIVIDAD ECONÓMICA, CAUSAS, SEGÚN MESES</t>
  </si>
  <si>
    <t>EXPLOTACIÓN                                                                                                       DE MINAS Y CANTERAS</t>
  </si>
  <si>
    <t>PLIEGO DE RECLAMOS</t>
  </si>
  <si>
    <t>OTRAS CAUSAS</t>
  </si>
  <si>
    <t xml:space="preserve">JULIO </t>
  </si>
  <si>
    <t xml:space="preserve"> DICIEMBRE </t>
  </si>
  <si>
    <t xml:space="preserve">DIESISEIS A VEINTIÚN DÍAS </t>
  </si>
  <si>
    <t>VEINTIDOS A TRENTICINCO DÍAS</t>
  </si>
  <si>
    <t>TRENTISEIS  A MÁS  DÍAS</t>
  </si>
  <si>
    <t>ANEXO N° 28</t>
  </si>
  <si>
    <t>ANEXO  N° 26</t>
  </si>
  <si>
    <t>ANEXO N° 27</t>
  </si>
  <si>
    <t>DÍAS DE DURACIÓN</t>
  </si>
  <si>
    <t>PROCEDENTE</t>
  </si>
  <si>
    <t>IMPROCEDENTE - ILEGALIDAD</t>
  </si>
  <si>
    <t>IMPROCEDENTE -  ILEGALIDAD</t>
  </si>
  <si>
    <t>H</t>
  </si>
  <si>
    <t xml:space="preserve">HUELGAS, TRABAJADORES COMPRENDIDOS Y HORAS - HOMBRE PERDIDAS EN EL SECTOR PRIVADO
POR   CALIFICACIÓN DE LA HUELGA, SEGÚN AÑOS  </t>
  </si>
  <si>
    <t xml:space="preserve"> MAYO</t>
  </si>
  <si>
    <t xml:space="preserve"> JULIO  </t>
  </si>
  <si>
    <t xml:space="preserve"> HUELGAS, TRABAJADORES COMPRENDIDOS Y HORAS - HOMBRE PERDIDAS EN EL SECTOR PRIVADO, SEGÚN DÍAS DE DURACIÓN</t>
  </si>
  <si>
    <t>HUELGAS, TRABAJADORES COMPRENDIDOS Y HORAS - HOMBRE PERDIDAS EN EL SECTOR PRIVADO POR PLAZO DETERMINADO E INDEFINIDO, SEGÚN MESES</t>
  </si>
  <si>
    <t>HUELGAS, TRABAJADORES COMPRENDIDOS Y HORAS - HOMBRE PERDIDAS EN EL SECTOR PRIVADO,  SEGÚN  CAUSAS</t>
  </si>
  <si>
    <t>HUELGAS, TRABAJADORES COMPRENDIDOS Y HORAS - HOMBRE PERDIDAS EN EL SECTOR PRIVADO, SEGÚN PLAZOS</t>
  </si>
  <si>
    <t>HUELGAS, TRABAJADORES COMPRENDIDOS Y HORAS - HOMBRE PERDIDAS EN EL SECTOR PRIVADO, SEGÚN ACTIVIDAD ECONÓMICA</t>
  </si>
  <si>
    <t>HUELGAS, TRABAJADORES COMPRENDIDOS Y HORAS -  HOMBRE PERDIDAS EN EL SECTOR PRIVADO DE LAS INDUSTRIAS MANUFACTURERAS, SEGÚN USO O DESTINO ECONÓMICO DE LOS BIENES PRODUCIDOS</t>
  </si>
  <si>
    <t>EVOLUCIÓN ANUAL DE HORAS - HOMBRE PERDIDAS POR ORGANIZACIÓN SINDICAL, SEGÚN AÑOS</t>
  </si>
  <si>
    <t>HUELGAS, TRABAJADORES COMPRENDIDOS Y HORAS - HOMBRE PERDIDAS EN EL SECTOR PRIVADO POR CAUSAS, SEGÚN AÑOS</t>
  </si>
  <si>
    <t>EXPLOTACIÓN DE MINAS Y CANTERAS</t>
  </si>
  <si>
    <t xml:space="preserve">ADMINISTRACIÓN PÚBLICA Y DEFENSA </t>
  </si>
  <si>
    <t>HUELGAS, TRABAJADORES COMPRENDIDOS Y HORAS - HOMBRE PERDIDAS  EN EL SECTOR PRIVADO, POR ÁMBITO GEOGRÁFICO, SEGÚN DÍAS DE DURACIÓN</t>
  </si>
  <si>
    <t>…Conclusión</t>
  </si>
  <si>
    <t>ACTIVIDAD ECONÓMICA</t>
  </si>
  <si>
    <t>HUELGAS, TRABAJADORES COMPRENDIDOS Y HORAS - HOMBRE PERDIDAS EN EL SECTOR                                                                                                                                                                                PRIVADO, SEGÚN ORGANIZACIÓN SINDICAL</t>
  </si>
  <si>
    <t>DISTRIBUCIÓN DE LAS HUELGAS, TRABAJADORES COMPRENDIDOS Y HORAS - HOMBRE                                                                                                                                                          PERDIDAS EN EL SECTOR PRIVADO, SEGÚN NÚMERO DE TRABAJADORES</t>
  </si>
  <si>
    <t>20 - 49</t>
  </si>
  <si>
    <t>50 - 99</t>
  </si>
  <si>
    <t>100 - 199</t>
  </si>
  <si>
    <t>200 - 299</t>
  </si>
  <si>
    <t>300 - 499</t>
  </si>
  <si>
    <t>500 - 799</t>
  </si>
  <si>
    <t>800 - 999</t>
  </si>
  <si>
    <t>1000 -  A MÁS TRABAJADORES</t>
  </si>
  <si>
    <t xml:space="preserve">SINDICATO ÚNICO </t>
  </si>
  <si>
    <t xml:space="preserve">                                                                                                                                                  </t>
  </si>
  <si>
    <t>1981  -  2008</t>
  </si>
  <si>
    <t>* COMPRENDE    : INCUMPLIMIENTO DE NORMAS LEGALES Y / O CONVENCIONALES, DESPEDIDO O AMENAZA DE DESPIDO Y OTROS MOTIVOS</t>
  </si>
  <si>
    <t xml:space="preserve">PAROS NACIONALES, SEGÚN ORGANIZACIONES SINDICALES CONVOCANTES </t>
  </si>
  <si>
    <t>ORGANIZACIONES SINDICALES
CONVOCANTES</t>
  </si>
  <si>
    <t>PLAZOS DE HUELGA</t>
  </si>
  <si>
    <t>T/C</t>
  </si>
  <si>
    <t>H/HP</t>
  </si>
  <si>
    <t xml:space="preserve">                                                                                                                                                                                                   </t>
  </si>
  <si>
    <t>FEDERACIONES</t>
  </si>
  <si>
    <t>NO SE REGISTRÓ HUELGAS</t>
  </si>
  <si>
    <t>NOTA: A partir del 16/03/2020 hasta el 31/08/2020 no se registra ninguna huelga y/ o paralización debido a que el gobierno decretó el Estado de Emergencia Nacional Sanitaria a partir del 16/03/2020, más ampliaciones (D.S. N°044, N°051, N°064 – 2020 P.C.M. y D.S. N°008-2020 S.A. y demás normas dictadas a la fecha).</t>
  </si>
  <si>
    <t xml:space="preserve">  FUENTE          : MINISTERIO DE TRABAJO Y PROMOCIÓN DEL EMPLEO </t>
  </si>
  <si>
    <t xml:space="preserve">  FUENTE         : MINISTERIO DE TRABAJO Y PROMOCIÓN DEL EMPLEO </t>
  </si>
  <si>
    <t xml:space="preserve">  H           : HUELGAS</t>
  </si>
  <si>
    <t xml:space="preserve">  T/C        : TRABAJADORES COMPRENDIDOS</t>
  </si>
  <si>
    <t xml:space="preserve">   H/HP    : HORAS/HOMBRE PERDIDAS</t>
  </si>
  <si>
    <t>ICA</t>
  </si>
  <si>
    <t>HUACHO</t>
  </si>
  <si>
    <t>MES</t>
  </si>
  <si>
    <t xml:space="preserve">  FUENTE        : MINISTERIO DE TRABAJO Y PROMOCIÓN DEL EMPLEO </t>
  </si>
  <si>
    <t xml:space="preserve">  *</t>
  </si>
  <si>
    <t>AÑO</t>
  </si>
  <si>
    <t xml:space="preserve">  FUENTE          :  MINISTERIO DE TRABAJO Y PROMOCIÓN DEL EMPLEO </t>
  </si>
  <si>
    <t>AGRICULTURA, GANADERÍA, CAZA Y SILVICULTURA</t>
  </si>
  <si>
    <t>SUMINISTRO DE ELECTRICIDAD,                                 GAS Y AGUA</t>
  </si>
  <si>
    <t>COMERCIO AL POR MAYOR                                                                                                                                              Y AL POR MENOR</t>
  </si>
  <si>
    <t>AGRICULTURA, GANADERÍA, CAZA 
Y SILVICULTURA</t>
  </si>
  <si>
    <t>COMERCIO AL
 POR MAYOR                                                                                                                                              Y AL
POR MENOR</t>
  </si>
  <si>
    <t>SERVICIOS SOCIALES
 Y DE
 SALUD</t>
  </si>
  <si>
    <t>HUELGAS, TRABAJADORES COMPRENDIDOS Y HORAS - HOMBRE PERDIDAS EN EL SECTOR PRIVADO 
POR PLAZO DETERMINADO E INDEFINIDO, SEGÚN AÑOS</t>
  </si>
  <si>
    <t xml:space="preserve"> HUELGAS, TRABAJADORES COMPRENDIDOS Y HORAS - HOMBRE PERDIDAS EN EL SECTOR PRIVADO
 CON AVISO DE PLAZO Y PARALIZACIÓN INTEMPESTIVA, SEGÚN AÑOS</t>
  </si>
  <si>
    <t>SERVICIOS SOCIALES
 Y DE SALUD</t>
  </si>
  <si>
    <t xml:space="preserve">ADMINISTRACIÓN
PÚBLICA Y DEFENSA </t>
  </si>
  <si>
    <t>GERENCIA/DIRECCIÓN REGIONAL 
Y  ZONAS DE TRABAJO</t>
  </si>
  <si>
    <t>GERENCIA/DIRECCIÓN REGIONAL
 Y ZONA DE TRABAJO</t>
  </si>
  <si>
    <t>INDUSTRIA MANUFACTURERA</t>
  </si>
  <si>
    <t>APURÍMAC</t>
  </si>
  <si>
    <t>ABANCAY</t>
  </si>
  <si>
    <t>AREQUIPA</t>
  </si>
  <si>
    <t>LIMA PROVINCIA</t>
  </si>
  <si>
    <r>
      <t xml:space="preserve">  ELABORADO :</t>
    </r>
    <r>
      <rPr>
        <sz val="9"/>
        <rFont val="Arial"/>
        <family val="2"/>
      </rPr>
      <t xml:space="preserve"> OGETIC - OFICINA DE ESTADÍSTICA</t>
    </r>
  </si>
  <si>
    <t>HUELGAS, TRABAJADORES COMPRENDIDOS Y HORAS -  HOMBRE PERDIDAS EN EL SECTOR
 PRIVADO, SEGÚN CALIFICACIÓN DE LA HUELGA</t>
  </si>
  <si>
    <r>
      <t xml:space="preserve">  ELABORADO :</t>
    </r>
    <r>
      <rPr>
        <sz val="10"/>
        <rFont val="Arial"/>
        <family val="2"/>
      </rPr>
      <t xml:space="preserve"> OGETIC - OFICINA DE ESTADÍSTICA</t>
    </r>
  </si>
  <si>
    <t>HUELGAS, TRABAJADORES COMPRENDIDOS Y HORAS - HOMBRE PERDIDAS EN EL SECTOR PRIVADO, 
SEGÚN GERENCIA/DIRECCIÓN REGIONAL Y ZONA DE TRABAJO</t>
  </si>
  <si>
    <r>
      <t xml:space="preserve">    </t>
    </r>
    <r>
      <rPr>
        <sz val="16"/>
        <rFont val="Arial"/>
        <family val="2"/>
      </rPr>
      <t xml:space="preserve">          *  </t>
    </r>
    <r>
      <rPr>
        <sz val="9"/>
        <rFont val="Arial"/>
        <family val="2"/>
      </rPr>
      <t xml:space="preserve">          </t>
    </r>
    <r>
      <rPr>
        <sz val="10"/>
        <rFont val="Arial"/>
        <family val="2"/>
      </rPr>
      <t xml:space="preserve"> :  HORAS - HOMBRE PERDIDAS GENERADAS POR HUELGAS PROVENIENTES DEL MES ANTERIOR</t>
    </r>
  </si>
  <si>
    <t xml:space="preserve">        H               : HUELGAS</t>
  </si>
  <si>
    <t xml:space="preserve">       T/C            : TRABAJADORES COMPRENDIDOS</t>
  </si>
  <si>
    <t xml:space="preserve">       H/HP         : HORAS/HOMBRE PERDIDAS</t>
  </si>
  <si>
    <r>
      <t xml:space="preserve">  ELABORADO :</t>
    </r>
    <r>
      <rPr>
        <sz val="9"/>
        <rFont val="Arial"/>
        <family val="2"/>
      </rPr>
      <t xml:space="preserve">   OGETIC - OFICINA DE ESTADÍSTICA</t>
    </r>
  </si>
  <si>
    <r>
      <rPr>
        <sz val="16"/>
        <rFont val="Arial"/>
        <family val="2"/>
      </rPr>
      <t xml:space="preserve">        *   </t>
    </r>
    <r>
      <rPr>
        <sz val="10"/>
        <rFont val="Arial"/>
        <family val="2"/>
      </rPr>
      <t xml:space="preserve">     :  HORAS - HOMBRE PERDIDAS GENERADAS POR HUELGAS PROVENIENTES DEL MES ANTERIOR</t>
    </r>
  </si>
  <si>
    <t xml:space="preserve">                           DGT - DIRECCIÓN DE PREVENCIÓN Y SOLUCIÓN DE CONFLICTOS LABORALES Y RESPONSABILIDAD SOCIAL EMPRESARIAL </t>
  </si>
  <si>
    <t xml:space="preserve">                             DGT - DIRECCIÓN DE PREVENCIÓN Y SOLUCIÓN DE CONFLICTOS LABORALES Y RESPONSABILIDAD SOCIAL EMPRESARIAL </t>
  </si>
  <si>
    <t xml:space="preserve">                            DGT - DIRECCIÓN DE PREVENCIÓN Y SOLUCIÓN DE CONFLICTOS LABORALES Y RESPONSABILIDAD SOCIAL EMPRESARIAL </t>
  </si>
  <si>
    <t xml:space="preserve">                                DGT - DIRECCIÓN DE PREVENCIÓN Y SOLUCIÓN DE CONFLICTOS LABORALES Y RESPONSABILIDAD SOCIAL EMPRESARIAL </t>
  </si>
  <si>
    <r>
      <rPr>
        <sz val="14"/>
        <rFont val="Arial"/>
        <family val="2"/>
      </rPr>
      <t xml:space="preserve">   *</t>
    </r>
    <r>
      <rPr>
        <sz val="9"/>
        <rFont val="Arial"/>
        <family val="2"/>
      </rPr>
      <t xml:space="preserve"> EL PARO DE LA CONFEDERACIÓN NACIONAL DE TRABAJADORES DE CONSTRUCCIÓN CIVIL LOS DÍAS 29 Y 30 DE AGOSTO, NO SE DISPONE  EL NÚMERO DE TRABAJADORES COMPRENDIDOS,  NI HORAS-HOMBRE PERDIDAS POR NO CONTAR CON LA INFORMACIÓN, SE COORDINÓ CON EL ÁREA RESPONSABLE (DIRECCIÓN DE PREVENCIÓN Y SOLUCIÓN DE CONFLICTOS LABORALES Y  RESPONSABILIDAD SOCIAL EMPRESARIAL -  DIRECCIÓN GENERAL DE TRABAJO).</t>
    </r>
  </si>
  <si>
    <t xml:space="preserve">                            DGT - DIRECCIÓN DE PREVENcIÓN Y SOLUCIÓN DE CONFLICTOS LABORALES Y RESPONSABILIDAD SOCIAL EMPRESARIAL </t>
  </si>
  <si>
    <t xml:space="preserve">                            DGT - DIRECCIÓN DE PREVENCIÓN Y SOLUCIÓN DE CONFLICTOS LABORALES Y </t>
  </si>
  <si>
    <t xml:space="preserve">                            RESPONSABILIDAD SOCIAL EMPRESARIAL </t>
  </si>
  <si>
    <t>…Continuación</t>
  </si>
  <si>
    <t>COMERCIO AL POR MAYOR   Y AL POR MENOR</t>
  </si>
  <si>
    <t xml:space="preserve">INDUSTRIA  MANUFACTURERA </t>
  </si>
  <si>
    <t xml:space="preserve"> COMERCIO AL POR MAYOR Y AL POR MENOR, REP. VEHÍC. AUTOM.</t>
  </si>
  <si>
    <t xml:space="preserve">APURIMAC </t>
  </si>
  <si>
    <t>JUNÍN</t>
  </si>
  <si>
    <t>CAÑETE</t>
  </si>
  <si>
    <t>TUMBES</t>
  </si>
  <si>
    <t xml:space="preserve"> DGT - DIRECCIÓN DE PREVENCIÓN Y SOLUCIÓN DE CONFLICTOS Y RESPONSABILIDAD SOCIAL EMPRESARIAL LABORAL</t>
  </si>
  <si>
    <t xml:space="preserve">       *</t>
  </si>
  <si>
    <t>INTERMEDIACIÓN FINANCIERA, AFP</t>
  </si>
  <si>
    <t>OTRAS ACTIVIDADES DE SEVICIOS COMUNITARIOS, SOCIALES Y PERSONALES</t>
  </si>
  <si>
    <t>HUELGA</t>
  </si>
  <si>
    <t xml:space="preserve">                            DGT - DIRECCIÓN DE PREVENCIÓN Y SOLUCIÓN DE CONFLICTOS Y RESPONSABILIDAD SOCIAL EMPRESARIAL LABORAL</t>
  </si>
  <si>
    <r>
      <t xml:space="preserve">  ELABORADO :</t>
    </r>
    <r>
      <rPr>
        <sz val="14"/>
        <rFont val="Arial"/>
        <family val="2"/>
      </rPr>
      <t xml:space="preserve"> OGETIC - OFICINA DE ESTADÍSTICA</t>
    </r>
  </si>
  <si>
    <r>
      <t xml:space="preserve">         </t>
    </r>
    <r>
      <rPr>
        <b/>
        <sz val="22"/>
        <rFont val="Arial"/>
        <family val="2"/>
      </rPr>
      <t xml:space="preserve"> *</t>
    </r>
    <r>
      <rPr>
        <b/>
        <sz val="14"/>
        <rFont val="Arial"/>
        <family val="2"/>
      </rPr>
      <t xml:space="preserve">           : </t>
    </r>
    <r>
      <rPr>
        <sz val="14"/>
        <rFont val="Arial"/>
        <family val="2"/>
      </rPr>
      <t xml:space="preserve"> HORAS - HOMBRE PERDIDAS GENERADAS POR HUELGAS PROVENIENTES DEL  AÑO Y/O MES ANTERIOR.</t>
    </r>
  </si>
  <si>
    <r>
      <t xml:space="preserve">    </t>
    </r>
    <r>
      <rPr>
        <b/>
        <sz val="18"/>
        <rFont val="Arial"/>
        <family val="2"/>
      </rPr>
      <t xml:space="preserve"> </t>
    </r>
    <r>
      <rPr>
        <b/>
        <sz val="22"/>
        <rFont val="Arial"/>
        <family val="2"/>
      </rPr>
      <t>*  *</t>
    </r>
    <r>
      <rPr>
        <b/>
        <sz val="18"/>
        <rFont val="Arial"/>
        <family val="2"/>
      </rPr>
      <t xml:space="preserve"> </t>
    </r>
    <r>
      <rPr>
        <b/>
        <sz val="14"/>
        <rFont val="Arial"/>
        <family val="2"/>
      </rPr>
      <t xml:space="preserve">         </t>
    </r>
    <r>
      <rPr>
        <sz val="14"/>
        <rFont val="Arial"/>
        <family val="2"/>
      </rPr>
      <t>: LA HUELGA Y/O PARALIZACIÓN QUE  FUE REGISTRADA EN LIMA METROPOLITANA</t>
    </r>
  </si>
  <si>
    <r>
      <t xml:space="preserve">       (LM)          :  </t>
    </r>
    <r>
      <rPr>
        <sz val="9"/>
        <rFont val="Arial"/>
        <family val="2"/>
      </rPr>
      <t xml:space="preserve">LIMA METROPOLITANA  </t>
    </r>
  </si>
  <si>
    <t xml:space="preserve">  FUENTE             : MINISTERIO DE TRABAJO Y PROMOCIÓN DEL EMPLEO - MTPE</t>
  </si>
  <si>
    <t xml:space="preserve">                                DGT - DIRECCIÓN DE PREVENCIÓN Y SOLUCIÓN DE CONFLICTOS Y RESPONSABILIDAD SOCIAL EMPRESARIAL LABORAL</t>
  </si>
  <si>
    <r>
      <t xml:space="preserve">  ELABORACIÓN :</t>
    </r>
    <r>
      <rPr>
        <sz val="9"/>
        <rFont val="Arial"/>
        <family val="2"/>
      </rPr>
      <t xml:space="preserve"> MTPE - OGETIC - OFICINA DE ESTADÍSTICA</t>
    </r>
  </si>
  <si>
    <r>
      <rPr>
        <sz val="20"/>
        <rFont val="Arial"/>
        <family val="2"/>
      </rPr>
      <t xml:space="preserve">   *    </t>
    </r>
    <r>
      <rPr>
        <sz val="9"/>
        <rFont val="Arial"/>
        <family val="2"/>
      </rPr>
      <t xml:space="preserve">        : HORAS - HOMBRE PERDIDAS GENERADAS POR HUELGAS PROVENIENTES DEL MES ANTERIOR</t>
    </r>
  </si>
  <si>
    <t>HUELGAS, TRABAJADORES COMPRENDIDOS Y HORAS - HOMBRE PERDIDAS EN EL SECTOR PRIVADO  POR ACTIVIDAD ECONÓMICA,                                                                                                                                                                                                                                                                                          SEGÚN GERENCIA / DIRECCIÓN REGIONAL Y ZONA DE TRABAJO</t>
  </si>
  <si>
    <t>HUELGAS, TRABAJADORES COMPRENDIDOS Y HORAS - HOMBRE PERDIDAS EN EL SECTOR PRIVADO POR AÑOS,  SEGÚN MESES</t>
  </si>
  <si>
    <t>HUELGAS, TRABAJADORES COMPRENDIDOS Y HORAS HOMBRE - PERDIDAS EN EL SECTOR PRIVADO, SEGÚN MESES</t>
  </si>
  <si>
    <t>1965  -  2025</t>
  </si>
  <si>
    <t>2025</t>
  </si>
  <si>
    <t>DESPIDO O AMENAZA DE DESPIDO</t>
  </si>
  <si>
    <t>Actos de Hostilidad</t>
  </si>
  <si>
    <t>Otros</t>
  </si>
  <si>
    <t>Falta de pago de Remuneraciones, asignaciones y/o gratificaciones sobre tiempo, Falta deposito de la CTS, No efectuada la distribución de utilidades, Afectación a la libertad sindical, No contar con el seguro complementario de trabajo de riesgo (SCTR), Incumplimiento de normas de seguridad y salud en el trabajo entre otros</t>
  </si>
  <si>
    <t>Solución al Pliego de Reclamos</t>
  </si>
  <si>
    <t>Fracaso de la Negociación Colectiva</t>
  </si>
  <si>
    <t>Cambio de directivos, Derogatoria de ley N°1666, Gestión Institucional, Impulso administraivo para aprobación de leyes.</t>
  </si>
  <si>
    <t>TRANSPORTE, ALMACENAMIENTO Y COMUNICACIONES</t>
  </si>
  <si>
    <t>AMAZONAS</t>
  </si>
  <si>
    <t>Chachapoyas</t>
  </si>
  <si>
    <t>Abancay</t>
  </si>
  <si>
    <t>Arequipa</t>
  </si>
  <si>
    <t>AYACUCHO</t>
  </si>
  <si>
    <t>Ayacucho</t>
  </si>
  <si>
    <t>CUSCO</t>
  </si>
  <si>
    <t>Cusco</t>
  </si>
  <si>
    <t>Ica</t>
  </si>
  <si>
    <t>Huancayo</t>
  </si>
  <si>
    <t>Lima Metropolitana</t>
  </si>
  <si>
    <t>Lima Metropolitana (Nivel Nacional)**</t>
  </si>
  <si>
    <t>Cañete</t>
  </si>
  <si>
    <t>Huacho</t>
  </si>
  <si>
    <t>LORETO</t>
  </si>
  <si>
    <t>Iquitos</t>
  </si>
  <si>
    <t>LA LIBERTAD</t>
  </si>
  <si>
    <t>Trujillo</t>
  </si>
  <si>
    <t>Tumbes</t>
  </si>
  <si>
    <t>UCAYALI</t>
  </si>
  <si>
    <t>Pucallpa</t>
  </si>
  <si>
    <r>
      <rPr>
        <b/>
        <sz val="18"/>
        <rFont val="Arial"/>
        <family val="2"/>
      </rPr>
      <t xml:space="preserve">       ** </t>
    </r>
    <r>
      <rPr>
        <b/>
        <sz val="9"/>
        <rFont val="Arial"/>
        <family val="2"/>
      </rPr>
      <t xml:space="preserve">       </t>
    </r>
    <r>
      <rPr>
        <sz val="9"/>
        <rFont val="Arial"/>
        <family val="2"/>
      </rPr>
      <t xml:space="preserve">: </t>
    </r>
    <r>
      <rPr>
        <sz val="11"/>
        <rFont val="Arial"/>
        <family val="2"/>
      </rPr>
      <t>La huelga y/o paralización que fue registrada en Lima Metropolitana</t>
    </r>
  </si>
  <si>
    <t>A nivel nacional se presentaron los siguientes organizaciones: 1) Federación Centro Unión de Trabajadores del Seguro Social de ESSALUD - ESSALUD DEL PERÜ - FED CUT, 2) Federación de Docentes de las Universidades Públicas del Perú - FENDUPP - HISTÓRICA, 3) Federación Nacional de Docentes Universitarios del Perú, 4) Federación Nacional de Sindicatos del Poder Judicial del Perú, 5) Federación Nacional de Trabajadores de la Defensa Pública del Ministerio de Justicia -  FENATDEPU MINJUS. 6) Federación Nacional de Trabajadores del Ministerio Público, 7) Sindicato de Docentes de Educación Superior del Perú, 8) Sindicato de Trabajadores Postales de SERPOST, 9) Sindicato Nacional de Enfermeras del Seguro Social de Salud - SINESSS, 10) Sindicato Nacional de Fisioterapeutas del Seguro Social del Perú; 11)  Sindicato Nacional de Médicos del Seguro Social del Perú - SINAMSSOP, 12) Sindicato Nacional de Obtetrices / Obstetras del Seguro Social de Salud - ESSALUD, 13) SINDICATO NACIONAL DE TRABAJADORES DE EMBOTELLADORA CORPORACION LINDLEY-SINATREL, 14) Sindicato Nacional de Trabajadores de la Seguridad Social -  SINATRA, 15) Sindicato Nacional de Trabajadores Penitenciarios del Perú - SINTRAP , 16) Sindicato Nacional de Trabajadores Sociales y/o Asistenciales - SINATS, 17) Sindicato Nacional del Programa Nacional de Centros Juveniles  Unidos en Defensa de los Derechos Laborales - PRONACEJ, 18) Sindicato Nacional Multisectorial de Profesionales Técnicos y Auxiliares Asistenciales de Salud del Perú - SINMTEAP y 19) Sindicato Unitario Nacional de Nutricionistas de ESSALUD - SUNESS.</t>
  </si>
  <si>
    <r>
      <t xml:space="preserve">*: </t>
    </r>
    <r>
      <rPr>
        <sz val="9"/>
        <rFont val="Arial"/>
        <family val="2"/>
      </rPr>
      <t>Cifra proveniente del año 2024 (Huelga y/o paralización que continuo hasta febrero del año 2025)</t>
    </r>
  </si>
  <si>
    <r>
      <rPr>
        <b/>
        <sz val="18"/>
        <rFont val="Arial"/>
        <family val="2"/>
      </rPr>
      <t xml:space="preserve">       *   </t>
    </r>
    <r>
      <rPr>
        <b/>
        <sz val="9"/>
        <rFont val="Arial"/>
        <family val="2"/>
      </rPr>
      <t xml:space="preserve">      </t>
    </r>
    <r>
      <rPr>
        <sz val="9"/>
        <rFont val="Arial"/>
        <family val="2"/>
      </rPr>
      <t xml:space="preserve">: </t>
    </r>
    <r>
      <rPr>
        <sz val="11"/>
        <rFont val="Arial"/>
        <family val="2"/>
      </rPr>
      <t>Cifra proveniente del año 2024 (Huelga y/o paralización que continuo hasta enero del año 2025)</t>
    </r>
  </si>
  <si>
    <t>2000  -  25</t>
  </si>
  <si>
    <t>1990  -  2025</t>
  </si>
  <si>
    <t>1987 -  2025</t>
  </si>
  <si>
    <t>**</t>
  </si>
  <si>
    <t>*   *                 :  HORAS - HOMBRE PERDIDAS GENERADAS POR HUELGAS PROVENIENTES DEL  MES ANTERIOR.</t>
  </si>
  <si>
    <t xml:space="preserve">     *     : El  paro de la  Confederación Nacional de Trabajadores de Construcción Civil los días 29 y 30 de agosto 2022, no se dispone el número de Trabajadores Comprendidos, ni Horas - Hombre Perdidas por no contar con la información;</t>
  </si>
  <si>
    <t xml:space="preserve">          se coordino con el Área responsable (Dirección de Prevención y Solución de Conflictos Laborales y Responsabilidad Social Empresarial - Dirección General de Trabajo).   
                                  </t>
  </si>
  <si>
    <r>
      <rPr>
        <b/>
        <sz val="10"/>
        <color rgb="FF333333"/>
        <rFont val="Arial"/>
        <family val="2"/>
      </rPr>
      <t>NOTA:</t>
    </r>
    <r>
      <rPr>
        <sz val="10"/>
        <color rgb="FF333333"/>
        <rFont val="Arial"/>
        <family val="2"/>
      </rPr>
      <t xml:space="preserve"> A partir del 16/03/2020 hasta el 31/08/2020 no se registra ninguna huelga y/ o paralización debido a que el gobierno decretó el Estado de Emergencia Nacional Sanitaria a partir del 16/03/2020, más ampliaciones (D.S. N°044, N°051, N°064 – 2020 P.C.M. y D.S. N°008-2020 S.A. y demás normas dictadas a la fecha).</t>
    </r>
  </si>
  <si>
    <t>1990   -  2025</t>
  </si>
  <si>
    <t>1992  -  2025</t>
  </si>
  <si>
    <t>2000  - 25</t>
  </si>
  <si>
    <t>CHAHAPOYAS</t>
  </si>
  <si>
    <t>HUANCAYO</t>
  </si>
  <si>
    <t>LIMA METROPOLITANA (Nivel Nacional) **</t>
  </si>
  <si>
    <t xml:space="preserve">LIMA METROPOLITANA </t>
  </si>
  <si>
    <t>IQUITOS</t>
  </si>
  <si>
    <t>TRUJILLO</t>
  </si>
  <si>
    <t>PUCALLPA</t>
  </si>
  <si>
    <t xml:space="preserve">A nivel nacional se presentaron los siguientes organizaciones: 1) Federación Centro Unión de Trabajadores del Seguro Social de ESSALUD - ESSALUD DEL PERÜ - FED CUT, 2) Federación de Docentes de las Universidades Públicas del Perú - FENDUPP - HISTÓRICA, 3) Federación Nacional de Docentes Universitarios del Perú, 4) Federación Nacional de Sindicatos del Poder Judicial del Perú, 5) Federación Nacional de Trabajadores de la Defensa Pública del Ministerio de Justicia -  FENATDEPU MINJUS. 6) Federación Nacional de Trabajadores del Ministerio Público, 7) Sindicato de Docentes de Educación Superior del Perú, 8) Sindicato de Trabajadores Postales de SERPOST, 9) Sindicato Nacional de Enfermeras del Seguro Social de Salud - SINESSS, 10) Sindicato Nacional de Fisioterapeutas del Seguro Social del Perú; 11)  Sindicato Nacional de Médicos del Seguro Social del Perú - SINAMSSOP, 12) Sindicato Nacional de Obtetrices / Obstetras del Seguro Social de Salud - ESSALUD, 13) SINDICATO NACIONAL DE TRABAJADORES DE EMBOTELLADORA CORPORACION LINDLEY-SINATREL, 14) Sindicato Nacional de Trabajadores de la Seguridad Social -  SINATRA, 15) Sindicato Nacional de Trabajadores Penitenciarios del Perú - SINTRAP , 16) Sindicato Nacional de Trabajadores Sociales y/o Asistenciales - SINATS, 17) Sindicato Nacional del Programa Nacional de Centros Juveniles  Unidos en Defensa de los Derechos Laborales - PRONACEJ, 18) Sindicato Nacional Multisectorial de Profesionales Técnicos y Auxiliares Asistenciales de Salud del Perú - SINMTEAP y 19) Sindicato Unitario Nacional de Nutricionistas de ESSALUD - SUNESS.
</t>
  </si>
  <si>
    <t>LIMA METROPOLITANA**</t>
  </si>
  <si>
    <t>2010  -  25</t>
  </si>
  <si>
    <t>**: Huelgas y/o paralizaciones registradas en Lima Metropolitana (Incluye huelgas declaradas a Nivel Nacional)</t>
  </si>
  <si>
    <t>*:  INCLUYE HORAS - HOMBRE PERDIDAS GENERADAS POR HUELGAS PROVENIENTES DEL MES ANTERIOR</t>
  </si>
  <si>
    <r>
      <rPr>
        <b/>
        <sz val="11"/>
        <color rgb="FF333333"/>
        <rFont val="Arial"/>
        <family val="2"/>
      </rPr>
      <t>NOTA</t>
    </r>
    <r>
      <rPr>
        <sz val="11"/>
        <color rgb="FF333333"/>
        <rFont val="Arial"/>
        <family val="2"/>
      </rPr>
      <t>: A partir del 16/03/2020 hasta el 31/08/2020 no se registra ninguna huelga y/ o paralización debido a que el gobierno decretó el Estado de Emergencia Nacional Sanitaria a partir del 16/03/2020, más ampliaciones (D.S. N°044, N°051, N°064 – 2020 P.C.M. y D.S. N°008-2020 S.A. y demás normas dictadas a la fecha). 
Huelgas y/o paralizaciones registradas en Lima Metropolitana (Incluye huelgas declaradas a Nivel Nacional).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</si>
</sst>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164" formatCode="_ * #,##0_ ;_ * \-#,##0_ ;_ * &quot;-&quot;_ ;_ @_ "/>
    <numFmt numFmtId="165" formatCode="_ * #,##0.00_ ;_ * \-#,##0.00_ ;_ * &quot;-&quot;??_ ;_ @_ "/>
    <numFmt numFmtId="166" formatCode="_(* #,##0_);_(* \(#,##0\);_(* &quot;-&quot;_);_(@_)"/>
    <numFmt numFmtId="167" formatCode="_(* #,##0.00_);_(* \(#,##0.00\);_(* &quot;-&quot;??_);_(@_)"/>
    <numFmt numFmtId="168" formatCode="_-* #,##0\ _P_t_s_-;\-* #,##0\ _P_t_s_-;_-* &quot;-&quot;\ _P_t_s_-;_-@_-"/>
    <numFmt numFmtId="169" formatCode="_-* #,##0.00\ _P_t_s_-;\-* #,##0.00\ _P_t_s_-;_-* &quot;-&quot;??\ _P_t_s_-;_-@_-"/>
    <numFmt numFmtId="170" formatCode="_ * #,##0_ ;_ * \-#,##0_ ;_ * &quot;-&quot;??_ ;_ @_ "/>
    <numFmt numFmtId="171" formatCode="#,##0_ ;\-#,##0\ "/>
    <numFmt numFmtId="172" formatCode="_(* #,##0.00_);_(* \(#,##0.00\);_(* &quot;-&quot;_);_(@_)"/>
    <numFmt numFmtId="173" formatCode="_ * #,##0.00_ ;_ * \-#,##0.00_ ;_ * &quot;-&quot;_ ;_ @_ "/>
    <numFmt numFmtId="174" formatCode="_-* #,##0.00_-;\-* #,##0.00_-;_-* &quot;-&quot;_-;_-@_-"/>
    <numFmt numFmtId="175" formatCode="_-* #\ ##0_-;\-* #\ ##0_-;_-* &quot;-&quot;_-;_-@_-"/>
    <numFmt numFmtId="176" formatCode="_-* .\ ##_-;\-* .\ ##_-;_-* &quot;-&quot;_-;_-@_ⴆ"/>
  </numFmts>
  <fonts count="73" x14ac:knownFonts="1">
    <font>
      <sz val="10"/>
      <name val="Arial"/>
    </font>
    <font>
      <sz val="10"/>
      <name val="Arial"/>
      <family val="2"/>
    </font>
    <font>
      <sz val="8"/>
      <name val="Arial"/>
      <family val="2"/>
    </font>
    <font>
      <b/>
      <sz val="8"/>
      <name val="Arial"/>
      <family val="2"/>
    </font>
    <font>
      <sz val="14"/>
      <name val="Arial"/>
      <family val="2"/>
    </font>
    <font>
      <sz val="10"/>
      <color indexed="8"/>
      <name val="MS Sans Serif"/>
      <family val="2"/>
    </font>
    <font>
      <sz val="10"/>
      <color theme="1"/>
      <name val="Arial"/>
      <family val="2"/>
    </font>
    <font>
      <b/>
      <sz val="11"/>
      <name val="Arial"/>
      <family val="2"/>
    </font>
    <font>
      <sz val="11"/>
      <name val="Arial"/>
      <family val="2"/>
    </font>
    <font>
      <b/>
      <sz val="16"/>
      <name val="Arial"/>
      <family val="2"/>
    </font>
    <font>
      <sz val="16"/>
      <name val="Arial"/>
      <family val="2"/>
    </font>
    <font>
      <b/>
      <sz val="9"/>
      <name val="Arial"/>
      <family val="2"/>
    </font>
    <font>
      <sz val="7"/>
      <name val="Arial"/>
      <family val="2"/>
    </font>
    <font>
      <sz val="9"/>
      <name val="Arial"/>
      <family val="2"/>
    </font>
    <font>
      <sz val="10"/>
      <color theme="0"/>
      <name val="Arial"/>
      <family val="2"/>
    </font>
    <font>
      <sz val="9"/>
      <color theme="0"/>
      <name val="Arial"/>
      <family val="2"/>
    </font>
    <font>
      <sz val="12"/>
      <name val="Arial"/>
      <family val="2"/>
    </font>
    <font>
      <b/>
      <sz val="18"/>
      <name val="Arial"/>
      <family val="2"/>
    </font>
    <font>
      <b/>
      <sz val="10"/>
      <name val="Arial"/>
      <family val="2"/>
    </font>
    <font>
      <b/>
      <sz val="12"/>
      <name val="Arial"/>
      <family val="2"/>
    </font>
    <font>
      <b/>
      <sz val="10"/>
      <color theme="0"/>
      <name val="Arial"/>
      <family val="2"/>
    </font>
    <font>
      <b/>
      <sz val="14"/>
      <name val="Arial"/>
      <family val="2"/>
    </font>
    <font>
      <b/>
      <sz val="14"/>
      <color theme="0"/>
      <name val="Arial"/>
      <family val="2"/>
    </font>
    <font>
      <b/>
      <u/>
      <sz val="12"/>
      <name val="Arial"/>
      <family val="2"/>
    </font>
    <font>
      <b/>
      <sz val="12"/>
      <color theme="0"/>
      <name val="Arial"/>
      <family val="2"/>
    </font>
    <font>
      <sz val="12"/>
      <color theme="0"/>
      <name val="Arial"/>
      <family val="2"/>
    </font>
    <font>
      <sz val="10"/>
      <color rgb="FF333333"/>
      <name val="Arial"/>
      <family val="2"/>
    </font>
    <font>
      <sz val="10"/>
      <color rgb="FFFF0000"/>
      <name val="Arial"/>
      <family val="2"/>
    </font>
    <font>
      <b/>
      <sz val="11"/>
      <color theme="0"/>
      <name val="Arial"/>
      <family val="2"/>
    </font>
    <font>
      <b/>
      <sz val="6"/>
      <name val="Arial"/>
      <family val="2"/>
    </font>
    <font>
      <sz val="12"/>
      <color theme="1"/>
      <name val="Arial"/>
      <family val="2"/>
    </font>
    <font>
      <b/>
      <sz val="9"/>
      <color theme="0"/>
      <name val="Arial"/>
      <family val="2"/>
    </font>
    <font>
      <sz val="9"/>
      <color rgb="FF333333"/>
      <name val="Arial"/>
      <family val="2"/>
    </font>
    <font>
      <b/>
      <sz val="12"/>
      <color rgb="FFFF0000"/>
      <name val="Arial"/>
      <family val="2"/>
    </font>
    <font>
      <b/>
      <sz val="9"/>
      <color rgb="FFFF0000"/>
      <name val="Arial"/>
      <family val="2"/>
    </font>
    <font>
      <sz val="9"/>
      <color indexed="8"/>
      <name val="Arial"/>
      <family val="2"/>
    </font>
    <font>
      <sz val="18"/>
      <name val="Arial"/>
      <family val="2"/>
    </font>
    <font>
      <b/>
      <sz val="8"/>
      <color theme="0"/>
      <name val="Arial"/>
      <family val="2"/>
    </font>
    <font>
      <sz val="11"/>
      <color theme="0"/>
      <name val="Arial"/>
      <family val="2"/>
    </font>
    <font>
      <b/>
      <sz val="6"/>
      <color theme="0"/>
      <name val="Arial"/>
      <family val="2"/>
    </font>
    <font>
      <b/>
      <sz val="20"/>
      <name val="Arial"/>
      <family val="2"/>
    </font>
    <font>
      <sz val="20"/>
      <name val="Arial"/>
      <family val="2"/>
    </font>
    <font>
      <sz val="6"/>
      <name val="Arial"/>
      <family val="2"/>
    </font>
    <font>
      <b/>
      <sz val="20"/>
      <color theme="0"/>
      <name val="Arial"/>
      <family val="2"/>
    </font>
    <font>
      <b/>
      <sz val="22"/>
      <color theme="0"/>
      <name val="Arial"/>
      <family val="2"/>
    </font>
    <font>
      <b/>
      <sz val="16"/>
      <color theme="0"/>
      <name val="Arial"/>
      <family val="2"/>
    </font>
    <font>
      <sz val="14"/>
      <color theme="0"/>
      <name val="Arial"/>
      <family val="2"/>
    </font>
    <font>
      <sz val="16"/>
      <color theme="0"/>
      <name val="Arial"/>
      <family val="2"/>
    </font>
    <font>
      <b/>
      <sz val="22"/>
      <name val="Arial"/>
      <family val="2"/>
    </font>
    <font>
      <sz val="22"/>
      <name val="Arial"/>
      <family val="2"/>
    </font>
    <font>
      <b/>
      <sz val="14"/>
      <color indexed="8"/>
      <name val="Arial"/>
      <family val="2"/>
    </font>
    <font>
      <sz val="10"/>
      <color theme="0" tint="-0.34998626667073579"/>
      <name val="Arial"/>
      <family val="2"/>
    </font>
    <font>
      <sz val="11"/>
      <color theme="0" tint="-0.34998626667073579"/>
      <name val="Arial"/>
      <family val="2"/>
    </font>
    <font>
      <sz val="11"/>
      <color rgb="FF333333"/>
      <name val="Arial"/>
      <family val="2"/>
    </font>
    <font>
      <b/>
      <sz val="11"/>
      <color rgb="FF333333"/>
      <name val="Arial"/>
      <family val="2"/>
    </font>
    <font>
      <sz val="9"/>
      <color indexed="81"/>
      <name val="Tahoma"/>
      <family val="2"/>
    </font>
    <font>
      <b/>
      <sz val="9"/>
      <color indexed="81"/>
      <name val="Tahoma"/>
      <family val="2"/>
    </font>
    <font>
      <b/>
      <sz val="10"/>
      <color rgb="FFFF0000"/>
      <name val="Arial"/>
      <family val="2"/>
    </font>
    <font>
      <b/>
      <sz val="16"/>
      <color theme="1"/>
      <name val="Arial"/>
      <family val="2"/>
    </font>
    <font>
      <b/>
      <sz val="12"/>
      <color indexed="8"/>
      <name val="Arial"/>
      <family val="2"/>
    </font>
    <font>
      <sz val="9"/>
      <color rgb="FFFF0000"/>
      <name val="Arial"/>
      <family val="2"/>
    </font>
    <font>
      <sz val="11"/>
      <color rgb="FFFF0000"/>
      <name val="Arial"/>
      <family val="2"/>
    </font>
    <font>
      <sz val="18"/>
      <color theme="0"/>
      <name val="Arial"/>
      <family val="2"/>
    </font>
    <font>
      <b/>
      <sz val="18"/>
      <color theme="0"/>
      <name val="Arial"/>
      <family val="2"/>
    </font>
    <font>
      <b/>
      <sz val="24"/>
      <name val="Arial"/>
      <family val="2"/>
    </font>
    <font>
      <sz val="24"/>
      <name val="Arial"/>
      <family val="2"/>
    </font>
    <font>
      <sz val="22"/>
      <color theme="0"/>
      <name val="Arial"/>
      <family val="2"/>
    </font>
    <font>
      <b/>
      <sz val="16"/>
      <color rgb="FFC00000"/>
      <name val="Arial"/>
      <family val="2"/>
    </font>
    <font>
      <b/>
      <sz val="12"/>
      <color rgb="FFC00000"/>
      <name val="Arial"/>
      <family val="2"/>
    </font>
    <font>
      <sz val="12"/>
      <color rgb="FFC00000"/>
      <name val="Arial"/>
      <family val="2"/>
    </font>
    <font>
      <sz val="16"/>
      <color rgb="FFC00000"/>
      <name val="Arial"/>
      <family val="2"/>
    </font>
    <font>
      <b/>
      <sz val="9"/>
      <color theme="0" tint="-0.34998626667073579"/>
      <name val="Arial"/>
      <family val="2"/>
    </font>
    <font>
      <b/>
      <sz val="10"/>
      <color rgb="FF333333"/>
      <name val="Arial"/>
      <family val="2"/>
    </font>
  </fonts>
  <fills count="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0"/>
        <bgColor indexed="8"/>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4.9989318521683403E-2"/>
        <bgColor indexed="8"/>
      </patternFill>
    </fill>
    <fill>
      <patternFill patternType="solid">
        <fgColor theme="0" tint="-0.34998626667073579"/>
        <bgColor indexed="64"/>
      </patternFill>
    </fill>
  </fills>
  <borders count="37">
    <border>
      <left/>
      <right/>
      <top/>
      <bottom/>
      <diagonal/>
    </border>
    <border>
      <left style="thin">
        <color theme="0"/>
      </left>
      <right style="thin">
        <color theme="0"/>
      </right>
      <top/>
      <bottom/>
      <diagonal/>
    </border>
    <border>
      <left style="thin">
        <color theme="0"/>
      </left>
      <right style="thin">
        <color theme="0"/>
      </right>
      <top style="thin">
        <color theme="0"/>
      </top>
      <bottom/>
      <diagonal/>
    </border>
    <border>
      <left/>
      <right style="thin">
        <color theme="0"/>
      </right>
      <top/>
      <bottom/>
      <diagonal/>
    </border>
    <border>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theme="0"/>
      </left>
      <right style="thin">
        <color theme="0"/>
      </right>
      <top style="thin">
        <color indexed="64"/>
      </top>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bottom/>
      <diagonal/>
    </border>
    <border>
      <left style="medium">
        <color theme="0"/>
      </left>
      <right/>
      <top style="medium">
        <color theme="0"/>
      </top>
      <bottom/>
      <diagonal/>
    </border>
    <border>
      <left/>
      <right style="medium">
        <color theme="0"/>
      </right>
      <top style="medium">
        <color theme="0"/>
      </top>
      <bottom style="medium">
        <color theme="0"/>
      </bottom>
      <diagonal/>
    </border>
    <border>
      <left style="thin">
        <color theme="0"/>
      </left>
      <right/>
      <top style="thin">
        <color theme="0"/>
      </top>
      <bottom style="medium">
        <color theme="0"/>
      </bottom>
      <diagonal/>
    </border>
    <border>
      <left/>
      <right/>
      <top style="thin">
        <color theme="0"/>
      </top>
      <bottom style="medium">
        <color theme="0"/>
      </bottom>
      <diagonal/>
    </border>
    <border>
      <left/>
      <right style="thin">
        <color theme="0"/>
      </right>
      <top style="thin">
        <color theme="0"/>
      </top>
      <bottom style="medium">
        <color theme="0"/>
      </bottom>
      <diagonal/>
    </border>
    <border>
      <left style="thin">
        <color theme="0"/>
      </left>
      <right style="medium">
        <color theme="0"/>
      </right>
      <top style="medium">
        <color theme="0"/>
      </top>
      <bottom style="medium">
        <color theme="0"/>
      </bottom>
      <diagonal/>
    </border>
    <border>
      <left style="medium">
        <color theme="0"/>
      </left>
      <right style="thin">
        <color theme="0"/>
      </right>
      <top style="medium">
        <color theme="0"/>
      </top>
      <bottom style="medium">
        <color theme="0"/>
      </bottom>
      <diagonal/>
    </border>
    <border>
      <left style="thin">
        <color theme="0"/>
      </left>
      <right style="medium">
        <color theme="0"/>
      </right>
      <top style="medium">
        <color theme="0"/>
      </top>
      <bottom/>
      <diagonal/>
    </border>
    <border>
      <left style="medium">
        <color theme="0"/>
      </left>
      <right style="thin">
        <color theme="0"/>
      </right>
      <top style="medium">
        <color theme="0"/>
      </top>
      <bottom/>
      <diagonal/>
    </border>
    <border>
      <left/>
      <right/>
      <top style="medium">
        <color theme="0"/>
      </top>
      <bottom/>
      <diagonal/>
    </border>
    <border>
      <left/>
      <right style="medium">
        <color theme="0"/>
      </right>
      <top style="medium">
        <color theme="0"/>
      </top>
      <bottom/>
      <diagonal/>
    </border>
    <border>
      <left style="thin">
        <color rgb="FFC00000"/>
      </left>
      <right/>
      <top/>
      <bottom style="thin">
        <color rgb="FFC00000"/>
      </bottom>
      <diagonal/>
    </border>
    <border>
      <left/>
      <right/>
      <top/>
      <bottom style="thin">
        <color rgb="FFC00000"/>
      </bottom>
      <diagonal/>
    </border>
    <border>
      <left/>
      <right style="thin">
        <color rgb="FFC00000"/>
      </right>
      <top/>
      <bottom style="thin">
        <color rgb="FFC00000"/>
      </bottom>
      <diagonal/>
    </border>
  </borders>
  <cellStyleXfs count="3">
    <xf numFmtId="0" fontId="0" fillId="0" borderId="0"/>
    <xf numFmtId="165" fontId="1" fillId="0" borderId="0" applyFont="0" applyFill="0" applyBorder="0" applyAlignment="0" applyProtection="0"/>
    <xf numFmtId="0" fontId="5" fillId="0" borderId="0"/>
  </cellStyleXfs>
  <cellXfs count="913">
    <xf numFmtId="0" fontId="0" fillId="0" borderId="0" xfId="0"/>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166" fontId="1" fillId="0" borderId="0" xfId="0" applyNumberFormat="1" applyFont="1" applyAlignment="1">
      <alignment horizontal="center" vertical="center"/>
    </xf>
    <xf numFmtId="0" fontId="11" fillId="0" borderId="0" xfId="0" applyFont="1"/>
    <xf numFmtId="0" fontId="12" fillId="0" borderId="0" xfId="0" applyFont="1" applyAlignment="1">
      <alignment vertical="center"/>
    </xf>
    <xf numFmtId="0" fontId="10" fillId="0" borderId="0" xfId="0" applyFont="1" applyAlignment="1">
      <alignment vertical="center"/>
    </xf>
    <xf numFmtId="0" fontId="1" fillId="0" borderId="0" xfId="0" applyFont="1" applyAlignment="1">
      <alignment horizontal="left" vertical="center" wrapText="1" indent="1"/>
    </xf>
    <xf numFmtId="166" fontId="1" fillId="0" borderId="0" xfId="0" applyNumberFormat="1" applyFont="1" applyAlignment="1">
      <alignment horizontal="right" vertical="center"/>
    </xf>
    <xf numFmtId="0" fontId="13" fillId="0" borderId="0" xfId="0" applyFont="1" applyAlignment="1">
      <alignment horizontal="left" vertical="center"/>
    </xf>
    <xf numFmtId="0" fontId="13" fillId="0" borderId="0" xfId="0" applyFont="1" applyAlignment="1">
      <alignment vertical="center" shrinkToFit="1"/>
    </xf>
    <xf numFmtId="0" fontId="13" fillId="0" borderId="0" xfId="0" applyFont="1" applyAlignment="1">
      <alignment horizontal="left"/>
    </xf>
    <xf numFmtId="168" fontId="14" fillId="0" borderId="0" xfId="0" quotePrefix="1" applyNumberFormat="1" applyFont="1" applyAlignment="1">
      <alignment vertical="center"/>
    </xf>
    <xf numFmtId="0" fontId="15" fillId="0" borderId="0" xfId="0" applyFont="1" applyAlignment="1">
      <alignment horizontal="left" vertical="center" indent="1"/>
    </xf>
    <xf numFmtId="166" fontId="14" fillId="0" borderId="0" xfId="0" applyNumberFormat="1" applyFont="1" applyAlignment="1">
      <alignment horizontal="right" vertical="center"/>
    </xf>
    <xf numFmtId="0" fontId="11" fillId="0" borderId="0" xfId="0" applyFont="1" applyAlignment="1">
      <alignment vertical="center"/>
    </xf>
    <xf numFmtId="164" fontId="1" fillId="0" borderId="0" xfId="0" applyNumberFormat="1" applyFont="1" applyAlignment="1">
      <alignment vertical="center"/>
    </xf>
    <xf numFmtId="164" fontId="16" fillId="0" borderId="0" xfId="0" applyNumberFormat="1" applyFont="1" applyAlignment="1">
      <alignment vertical="center"/>
    </xf>
    <xf numFmtId="164" fontId="10" fillId="0" borderId="0" xfId="0" applyNumberFormat="1"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11" fillId="0" borderId="0" xfId="0" applyFont="1" applyAlignment="1">
      <alignment horizontal="left" vertical="center"/>
    </xf>
    <xf numFmtId="0" fontId="18" fillId="0" borderId="0" xfId="0" applyFont="1" applyAlignment="1">
      <alignment vertical="center"/>
    </xf>
    <xf numFmtId="164" fontId="18" fillId="0" borderId="0" xfId="0" applyNumberFormat="1" applyFont="1" applyAlignment="1">
      <alignment vertical="center"/>
    </xf>
    <xf numFmtId="0" fontId="19" fillId="0" borderId="0" xfId="0" applyFont="1" applyAlignment="1">
      <alignment horizontal="center" vertical="center"/>
    </xf>
    <xf numFmtId="0" fontId="19" fillId="0" borderId="0" xfId="0" applyFont="1" applyAlignment="1">
      <alignment horizontal="left" vertical="center"/>
    </xf>
    <xf numFmtId="164" fontId="1" fillId="0" borderId="0" xfId="0" applyNumberFormat="1" applyFont="1" applyAlignment="1">
      <alignment horizontal="right" vertical="center"/>
    </xf>
    <xf numFmtId="0" fontId="1" fillId="2" borderId="0" xfId="0" applyFont="1" applyFill="1" applyAlignment="1">
      <alignment horizontal="center" vertical="center"/>
    </xf>
    <xf numFmtId="0" fontId="1" fillId="2" borderId="0" xfId="0" applyFont="1" applyFill="1" applyAlignment="1">
      <alignment vertical="center"/>
    </xf>
    <xf numFmtId="1" fontId="1" fillId="0" borderId="0" xfId="0" applyNumberFormat="1" applyFont="1" applyAlignment="1">
      <alignment horizontal="center" vertical="center"/>
    </xf>
    <xf numFmtId="0" fontId="21" fillId="0" borderId="0" xfId="0" applyFont="1" applyAlignment="1">
      <alignment vertical="center"/>
    </xf>
    <xf numFmtId="0" fontId="4" fillId="0" borderId="0" xfId="0" applyFont="1"/>
    <xf numFmtId="0" fontId="21" fillId="0" borderId="0" xfId="0" applyFont="1" applyAlignment="1">
      <alignment vertical="top"/>
    </xf>
    <xf numFmtId="0" fontId="21" fillId="0" borderId="0" xfId="0" applyFont="1"/>
    <xf numFmtId="0" fontId="21" fillId="0" borderId="0" xfId="0" applyFont="1" applyAlignment="1">
      <alignment vertical="center" wrapText="1"/>
    </xf>
    <xf numFmtId="0" fontId="18" fillId="0" borderId="0" xfId="0" applyFont="1" applyAlignment="1">
      <alignment vertical="center" wrapText="1"/>
    </xf>
    <xf numFmtId="0" fontId="1" fillId="5" borderId="0" xfId="0" applyFont="1" applyFill="1"/>
    <xf numFmtId="0" fontId="1" fillId="0" borderId="0" xfId="0" applyFont="1"/>
    <xf numFmtId="0" fontId="1" fillId="5" borderId="0" xfId="0" applyFont="1" applyFill="1" applyAlignment="1">
      <alignment vertical="center"/>
    </xf>
    <xf numFmtId="0" fontId="3" fillId="0" borderId="0" xfId="0" applyFont="1"/>
    <xf numFmtId="0" fontId="1" fillId="2" borderId="0" xfId="0" applyFont="1" applyFill="1"/>
    <xf numFmtId="41" fontId="1" fillId="0" borderId="0" xfId="0" applyNumberFormat="1" applyFont="1" applyAlignment="1">
      <alignment horizontal="center" vertical="center"/>
    </xf>
    <xf numFmtId="41" fontId="1" fillId="0" borderId="0" xfId="0" quotePrefix="1" applyNumberFormat="1" applyFont="1" applyAlignment="1">
      <alignment horizontal="center" vertical="center"/>
    </xf>
    <xf numFmtId="0" fontId="6" fillId="0" borderId="0" xfId="0" applyFont="1"/>
    <xf numFmtId="0" fontId="27" fillId="0" borderId="0" xfId="0" applyFont="1"/>
    <xf numFmtId="0" fontId="27" fillId="2" borderId="0" xfId="0" applyFont="1" applyFill="1"/>
    <xf numFmtId="0" fontId="1" fillId="0" borderId="0" xfId="0" applyFont="1" applyAlignment="1">
      <alignment horizontal="left" vertical="center" indent="1"/>
    </xf>
    <xf numFmtId="0" fontId="14" fillId="0" borderId="0" xfId="0" applyFont="1"/>
    <xf numFmtId="166" fontId="16" fillId="0" borderId="0" xfId="0" applyNumberFormat="1" applyFont="1" applyAlignment="1">
      <alignment horizontal="center" vertical="center"/>
    </xf>
    <xf numFmtId="0" fontId="16" fillId="0" borderId="0" xfId="0" applyFont="1" applyAlignment="1">
      <alignment horizontal="center" vertical="center"/>
    </xf>
    <xf numFmtId="0" fontId="20" fillId="0" borderId="0" xfId="0" applyFont="1"/>
    <xf numFmtId="0" fontId="18" fillId="0" borderId="0" xfId="0" applyFont="1"/>
    <xf numFmtId="0" fontId="16"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25" fillId="0" borderId="0" xfId="0" applyFont="1" applyAlignment="1">
      <alignment vertical="center"/>
    </xf>
    <xf numFmtId="0" fontId="16" fillId="0" borderId="0" xfId="0" applyFont="1" applyAlignment="1">
      <alignment horizontal="left" vertical="center" wrapText="1" indent="1"/>
    </xf>
    <xf numFmtId="166" fontId="16" fillId="0" borderId="0" xfId="0" applyNumberFormat="1" applyFont="1" applyAlignment="1">
      <alignment horizontal="right" vertical="center"/>
    </xf>
    <xf numFmtId="0" fontId="1" fillId="0" borderId="0" xfId="0" applyFont="1" applyAlignment="1">
      <alignment horizontal="left" vertical="center"/>
    </xf>
    <xf numFmtId="0" fontId="16" fillId="0" borderId="0" xfId="0" applyFont="1" applyAlignment="1">
      <alignment vertical="center" shrinkToFit="1"/>
    </xf>
    <xf numFmtId="0" fontId="16" fillId="0" borderId="0" xfId="0" applyFont="1" applyAlignment="1">
      <alignment horizontal="left"/>
    </xf>
    <xf numFmtId="168" fontId="25" fillId="0" borderId="0" xfId="0" quotePrefix="1" applyNumberFormat="1" applyFont="1" applyAlignment="1">
      <alignment vertical="center"/>
    </xf>
    <xf numFmtId="0" fontId="25" fillId="0" borderId="0" xfId="0" applyFont="1" applyAlignment="1">
      <alignment horizontal="left" vertical="center" indent="1"/>
    </xf>
    <xf numFmtId="166" fontId="25" fillId="0" borderId="0" xfId="0" applyNumberFormat="1" applyFont="1" applyAlignment="1">
      <alignment horizontal="right" vertical="center"/>
    </xf>
    <xf numFmtId="0" fontId="16" fillId="0" borderId="0" xfId="0" applyFont="1" applyAlignment="1">
      <alignment vertical="center" wrapText="1"/>
    </xf>
    <xf numFmtId="0" fontId="13" fillId="2" borderId="0" xfId="0" applyFont="1" applyFill="1" applyAlignment="1">
      <alignment vertical="justify" wrapText="1"/>
    </xf>
    <xf numFmtId="166" fontId="1" fillId="0" borderId="0" xfId="0" applyNumberFormat="1" applyFont="1" applyAlignment="1">
      <alignment vertical="center"/>
    </xf>
    <xf numFmtId="168" fontId="1" fillId="0" borderId="0" xfId="0" quotePrefix="1" applyNumberFormat="1" applyFont="1" applyAlignment="1">
      <alignment vertical="center"/>
    </xf>
    <xf numFmtId="0" fontId="13" fillId="0" borderId="0" xfId="0" applyFont="1" applyAlignment="1">
      <alignment horizontal="left" vertical="center" indent="1"/>
    </xf>
    <xf numFmtId="164" fontId="1" fillId="0" borderId="0" xfId="0" applyNumberFormat="1" applyFont="1" applyAlignment="1">
      <alignment horizontal="center" vertical="center"/>
    </xf>
    <xf numFmtId="0" fontId="8" fillId="0" borderId="0" xfId="0" applyFont="1" applyAlignment="1">
      <alignment horizontal="center" vertical="center"/>
    </xf>
    <xf numFmtId="0" fontId="32" fillId="0" borderId="0" xfId="0" applyFont="1" applyAlignment="1">
      <alignment vertical="top" wrapText="1"/>
    </xf>
    <xf numFmtId="0" fontId="19" fillId="0" borderId="0" xfId="0" applyFont="1" applyAlignment="1">
      <alignment vertical="center"/>
    </xf>
    <xf numFmtId="0" fontId="19" fillId="0" borderId="0" xfId="0" applyFont="1" applyAlignment="1">
      <alignment vertical="center" wrapText="1"/>
    </xf>
    <xf numFmtId="0" fontId="33" fillId="0" borderId="0" xfId="0" applyFont="1" applyAlignment="1">
      <alignment vertical="center" wrapText="1"/>
    </xf>
    <xf numFmtId="0" fontId="27" fillId="0" borderId="0" xfId="0" applyFont="1" applyAlignment="1">
      <alignment vertical="center"/>
    </xf>
    <xf numFmtId="17" fontId="19" fillId="0" borderId="0" xfId="0" quotePrefix="1" applyNumberFormat="1" applyFont="1" applyAlignment="1">
      <alignment vertical="center"/>
    </xf>
    <xf numFmtId="17" fontId="33" fillId="0" borderId="0" xfId="0" quotePrefix="1" applyNumberFormat="1" applyFont="1" applyAlignment="1">
      <alignment vertical="center"/>
    </xf>
    <xf numFmtId="0" fontId="34" fillId="0" borderId="0" xfId="0" applyFont="1" applyAlignment="1">
      <alignment vertical="center"/>
    </xf>
    <xf numFmtId="0" fontId="35" fillId="4" borderId="0" xfId="2" applyFont="1" applyFill="1" applyAlignment="1">
      <alignment horizontal="left" vertical="center" wrapText="1" indent="1"/>
    </xf>
    <xf numFmtId="164" fontId="13" fillId="2" borderId="0" xfId="0" quotePrefix="1" applyNumberFormat="1" applyFont="1" applyFill="1" applyAlignment="1">
      <alignment horizontal="right" vertical="center"/>
    </xf>
    <xf numFmtId="0" fontId="8" fillId="0" borderId="0" xfId="0" applyFont="1" applyAlignment="1">
      <alignment vertical="center"/>
    </xf>
    <xf numFmtId="3" fontId="1" fillId="0" borderId="0" xfId="0" applyNumberFormat="1" applyFont="1" applyAlignment="1">
      <alignment vertical="center"/>
    </xf>
    <xf numFmtId="0" fontId="13" fillId="0" borderId="0" xfId="0" applyFont="1" applyAlignment="1">
      <alignment vertical="center"/>
    </xf>
    <xf numFmtId="0" fontId="27" fillId="0" borderId="0" xfId="0" applyFont="1" applyAlignment="1">
      <alignment horizontal="left" vertical="center" wrapText="1" indent="1"/>
    </xf>
    <xf numFmtId="166" fontId="27" fillId="0" borderId="0" xfId="0" applyNumberFormat="1" applyFont="1" applyAlignment="1">
      <alignment horizontal="center" vertical="center"/>
    </xf>
    <xf numFmtId="166" fontId="27" fillId="0" borderId="0" xfId="0" applyNumberFormat="1" applyFont="1" applyAlignment="1">
      <alignment horizontal="right" vertical="center"/>
    </xf>
    <xf numFmtId="168" fontId="27" fillId="0" borderId="0" xfId="0" quotePrefix="1" applyNumberFormat="1" applyFont="1" applyAlignment="1">
      <alignment vertical="center"/>
    </xf>
    <xf numFmtId="0" fontId="27" fillId="0" borderId="0" xfId="0" applyFont="1" applyAlignment="1">
      <alignment horizontal="left" vertical="center" indent="1"/>
    </xf>
    <xf numFmtId="164" fontId="13" fillId="0" borderId="0" xfId="0" applyNumberFormat="1" applyFont="1" applyAlignment="1">
      <alignment vertical="center"/>
    </xf>
    <xf numFmtId="0" fontId="13" fillId="0" borderId="0" xfId="0" applyFont="1" applyAlignment="1">
      <alignment vertical="center" wrapText="1"/>
    </xf>
    <xf numFmtId="0" fontId="13" fillId="0" borderId="0" xfId="0" applyFont="1" applyAlignment="1">
      <alignment horizontal="center" vertical="center"/>
    </xf>
    <xf numFmtId="0" fontId="21" fillId="0" borderId="0" xfId="0" applyFont="1" applyAlignment="1">
      <alignment horizontal="center" vertical="center"/>
    </xf>
    <xf numFmtId="3" fontId="1" fillId="0" borderId="0" xfId="0" applyNumberFormat="1" applyFont="1" applyAlignment="1">
      <alignment horizontal="center" vertical="center"/>
    </xf>
    <xf numFmtId="3" fontId="1" fillId="0" borderId="0" xfId="0" quotePrefix="1"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3" fontId="17" fillId="0" borderId="0" xfId="0" applyNumberFormat="1" applyFont="1" applyAlignment="1">
      <alignment vertical="center"/>
    </xf>
    <xf numFmtId="3" fontId="17" fillId="0" borderId="0" xfId="0" applyNumberFormat="1" applyFont="1" applyAlignment="1">
      <alignment horizontal="centerContinuous" vertical="center"/>
    </xf>
    <xf numFmtId="3" fontId="36" fillId="0" borderId="0" xfId="0" applyNumberFormat="1" applyFont="1" applyAlignment="1">
      <alignment vertical="center"/>
    </xf>
    <xf numFmtId="3" fontId="17" fillId="0" borderId="0" xfId="0" applyNumberFormat="1" applyFont="1" applyAlignment="1">
      <alignment vertical="center" wrapText="1"/>
    </xf>
    <xf numFmtId="3" fontId="17" fillId="0" borderId="0" xfId="0" applyNumberFormat="1" applyFont="1" applyAlignment="1">
      <alignment horizontal="center" vertical="center"/>
    </xf>
    <xf numFmtId="3" fontId="7" fillId="2" borderId="0" xfId="0" applyNumberFormat="1" applyFont="1" applyFill="1"/>
    <xf numFmtId="3" fontId="8" fillId="2" borderId="0" xfId="0" applyNumberFormat="1" applyFont="1" applyFill="1" applyAlignment="1">
      <alignment horizontal="center" vertical="center"/>
    </xf>
    <xf numFmtId="1" fontId="7" fillId="2" borderId="0" xfId="0" applyNumberFormat="1" applyFont="1" applyFill="1" applyAlignment="1">
      <alignment horizontal="center" vertical="center"/>
    </xf>
    <xf numFmtId="3" fontId="1" fillId="2" borderId="0" xfId="0" applyNumberFormat="1" applyFont="1" applyFill="1" applyAlignment="1">
      <alignment horizontal="center" vertical="center"/>
    </xf>
    <xf numFmtId="3" fontId="1" fillId="2" borderId="0" xfId="0" quotePrefix="1" applyNumberFormat="1" applyFont="1" applyFill="1" applyAlignment="1">
      <alignment horizontal="center" vertical="center"/>
    </xf>
    <xf numFmtId="3" fontId="7" fillId="2" borderId="0" xfId="0" applyNumberFormat="1" applyFont="1" applyFill="1" applyAlignment="1">
      <alignment horizontal="center" vertical="center"/>
    </xf>
    <xf numFmtId="3" fontId="7" fillId="2" borderId="0" xfId="0" applyNumberFormat="1" applyFont="1" applyFill="1" applyAlignment="1">
      <alignment horizontal="left" vertical="center" indent="1"/>
    </xf>
    <xf numFmtId="3" fontId="18" fillId="2" borderId="0" xfId="0" applyNumberFormat="1" applyFont="1" applyFill="1" applyAlignment="1">
      <alignment horizontal="center" vertical="center"/>
    </xf>
    <xf numFmtId="3" fontId="7" fillId="2" borderId="0" xfId="0" applyNumberFormat="1" applyFont="1" applyFill="1" applyAlignment="1">
      <alignment horizontal="center"/>
    </xf>
    <xf numFmtId="3" fontId="7" fillId="2" borderId="0" xfId="0" applyNumberFormat="1" applyFont="1" applyFill="1" applyAlignment="1">
      <alignment vertical="center"/>
    </xf>
    <xf numFmtId="3" fontId="28" fillId="2" borderId="0" xfId="0" applyNumberFormat="1" applyFont="1" applyFill="1" applyAlignment="1">
      <alignment horizontal="left" vertical="center" indent="1"/>
    </xf>
    <xf numFmtId="3" fontId="20" fillId="2" borderId="0" xfId="0" applyNumberFormat="1" applyFont="1" applyFill="1" applyAlignment="1">
      <alignment horizontal="center" vertical="center"/>
    </xf>
    <xf numFmtId="3" fontId="8" fillId="0" borderId="0" xfId="0" applyNumberFormat="1" applyFont="1" applyAlignment="1">
      <alignment vertical="center"/>
    </xf>
    <xf numFmtId="3" fontId="18" fillId="0" borderId="0" xfId="0" applyNumberFormat="1" applyFont="1" applyAlignment="1">
      <alignment vertical="center"/>
    </xf>
    <xf numFmtId="3" fontId="36" fillId="2" borderId="0" xfId="0" applyNumberFormat="1" applyFont="1" applyFill="1" applyAlignment="1">
      <alignment horizontal="right" vertical="center"/>
    </xf>
    <xf numFmtId="3" fontId="28" fillId="2" borderId="0" xfId="0" applyNumberFormat="1" applyFont="1" applyFill="1" applyAlignment="1">
      <alignment horizontal="center" vertical="center"/>
    </xf>
    <xf numFmtId="3" fontId="28" fillId="2" borderId="0" xfId="0" applyNumberFormat="1" applyFont="1" applyFill="1" applyAlignment="1">
      <alignment vertical="center"/>
    </xf>
    <xf numFmtId="3" fontId="38" fillId="2" borderId="0" xfId="0" applyNumberFormat="1" applyFont="1" applyFill="1" applyAlignment="1">
      <alignment horizontal="center" vertical="center"/>
    </xf>
    <xf numFmtId="164" fontId="28" fillId="2" borderId="0" xfId="0" applyNumberFormat="1" applyFont="1" applyFill="1" applyAlignment="1">
      <alignment horizontal="center" vertical="center"/>
    </xf>
    <xf numFmtId="164" fontId="28" fillId="2" borderId="0" xfId="0" applyNumberFormat="1" applyFont="1" applyFill="1" applyAlignment="1">
      <alignment vertical="center"/>
    </xf>
    <xf numFmtId="3" fontId="1" fillId="2" borderId="0" xfId="0" applyNumberFormat="1" applyFont="1" applyFill="1" applyAlignment="1">
      <alignment vertical="center"/>
    </xf>
    <xf numFmtId="3" fontId="36"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164" fontId="1" fillId="2" borderId="0" xfId="0" applyNumberFormat="1" applyFont="1" applyFill="1" applyAlignment="1">
      <alignment vertical="center"/>
    </xf>
    <xf numFmtId="164" fontId="36" fillId="2" borderId="0" xfId="0" applyNumberFormat="1" applyFont="1" applyFill="1" applyAlignment="1">
      <alignment horizontal="left" vertical="center"/>
    </xf>
    <xf numFmtId="0" fontId="18" fillId="0" borderId="0" xfId="0" applyFont="1" applyAlignment="1">
      <alignment horizontal="left" indent="1"/>
    </xf>
    <xf numFmtId="0" fontId="1" fillId="0" borderId="0" xfId="0" applyFont="1" applyAlignment="1">
      <alignment vertical="center" shrinkToFit="1"/>
    </xf>
    <xf numFmtId="0" fontId="1" fillId="0" borderId="0" xfId="0" applyFont="1" applyAlignment="1">
      <alignment horizontal="left"/>
    </xf>
    <xf numFmtId="0" fontId="18" fillId="0" borderId="0" xfId="0" applyFont="1" applyAlignment="1">
      <alignment horizontal="left" vertical="center" indent="1"/>
    </xf>
    <xf numFmtId="3" fontId="18" fillId="0" borderId="0" xfId="0" applyNumberFormat="1" applyFont="1" applyAlignment="1">
      <alignment horizontal="left" vertical="center" indent="1"/>
    </xf>
    <xf numFmtId="0" fontId="6" fillId="0" borderId="0" xfId="0" applyFont="1" applyAlignment="1">
      <alignment vertical="center"/>
    </xf>
    <xf numFmtId="0" fontId="14" fillId="0" borderId="0" xfId="0" applyFont="1" applyAlignment="1">
      <alignment vertical="center"/>
    </xf>
    <xf numFmtId="0" fontId="26" fillId="0" borderId="0" xfId="0" applyFont="1" applyAlignment="1">
      <alignment vertical="center" wrapText="1"/>
    </xf>
    <xf numFmtId="0" fontId="3" fillId="0" borderId="0" xfId="0" applyFont="1" applyAlignment="1">
      <alignment horizontal="left" vertical="center"/>
    </xf>
    <xf numFmtId="171" fontId="1" fillId="0" borderId="0" xfId="0" applyNumberFormat="1" applyFont="1"/>
    <xf numFmtId="165" fontId="1" fillId="0" borderId="0" xfId="0" applyNumberFormat="1" applyFont="1"/>
    <xf numFmtId="0" fontId="18" fillId="0" borderId="0" xfId="0" applyFont="1" applyAlignment="1">
      <alignment horizontal="center" vertical="center"/>
    </xf>
    <xf numFmtId="0" fontId="14" fillId="0" borderId="0" xfId="0" applyFont="1" applyAlignment="1">
      <alignment horizontal="left" vertical="center" indent="1"/>
    </xf>
    <xf numFmtId="0" fontId="2" fillId="0" borderId="0" xfId="0" applyFont="1" applyAlignment="1">
      <alignment vertical="center"/>
    </xf>
    <xf numFmtId="164" fontId="16" fillId="0" borderId="0" xfId="1" applyNumberFormat="1" applyFont="1" applyBorder="1" applyAlignment="1">
      <alignment horizontal="center" vertical="center"/>
    </xf>
    <xf numFmtId="0" fontId="36" fillId="0" borderId="0" xfId="0" applyFont="1" applyAlignment="1">
      <alignment horizontal="center" vertical="center"/>
    </xf>
    <xf numFmtId="0" fontId="24" fillId="2" borderId="0" xfId="0" applyFont="1" applyFill="1" applyAlignment="1">
      <alignment vertical="center"/>
    </xf>
    <xf numFmtId="164" fontId="13" fillId="0" borderId="0" xfId="0" applyNumberFormat="1" applyFont="1" applyAlignment="1">
      <alignment horizontal="center" vertical="center"/>
    </xf>
    <xf numFmtId="164" fontId="11" fillId="0" borderId="0" xfId="0" applyNumberFormat="1" applyFont="1" applyAlignment="1">
      <alignment horizontal="center" vertical="center"/>
    </xf>
    <xf numFmtId="164" fontId="13" fillId="2" borderId="0" xfId="0" applyNumberFormat="1" applyFont="1" applyFill="1" applyAlignment="1">
      <alignment horizontal="center" vertical="center"/>
    </xf>
    <xf numFmtId="0" fontId="13" fillId="2" borderId="0" xfId="0" applyFont="1" applyFill="1" applyAlignment="1">
      <alignment vertical="center"/>
    </xf>
    <xf numFmtId="164" fontId="2" fillId="2" borderId="0" xfId="0" applyNumberFormat="1" applyFont="1" applyFill="1" applyAlignment="1">
      <alignment horizontal="center" vertical="center"/>
    </xf>
    <xf numFmtId="0" fontId="2" fillId="2" borderId="0" xfId="0" applyFont="1" applyFill="1" applyAlignment="1">
      <alignment vertical="center"/>
    </xf>
    <xf numFmtId="164" fontId="13" fillId="2" borderId="0" xfId="0" quotePrefix="1" applyNumberFormat="1" applyFont="1" applyFill="1" applyAlignment="1">
      <alignment horizontal="center" vertical="center"/>
    </xf>
    <xf numFmtId="164" fontId="20" fillId="2" borderId="0" xfId="0" applyNumberFormat="1" applyFont="1" applyFill="1" applyAlignment="1">
      <alignment horizontal="center" vertical="center"/>
    </xf>
    <xf numFmtId="164" fontId="14" fillId="2" borderId="0" xfId="0" applyNumberFormat="1" applyFont="1" applyFill="1" applyAlignment="1">
      <alignment horizontal="center" vertical="center"/>
    </xf>
    <xf numFmtId="0" fontId="14" fillId="2" borderId="0" xfId="0" applyFont="1" applyFill="1" applyAlignment="1">
      <alignment vertical="center"/>
    </xf>
    <xf numFmtId="0" fontId="24" fillId="2" borderId="0" xfId="0" applyFont="1" applyFill="1" applyAlignment="1">
      <alignment horizontal="center" vertical="center"/>
    </xf>
    <xf numFmtId="3" fontId="13" fillId="0" borderId="0" xfId="0" applyNumberFormat="1" applyFont="1" applyAlignment="1">
      <alignment vertical="center"/>
    </xf>
    <xf numFmtId="3" fontId="13" fillId="0" borderId="0" xfId="0" quotePrefix="1" applyNumberFormat="1" applyFont="1" applyAlignment="1">
      <alignment horizontal="right" vertical="center"/>
    </xf>
    <xf numFmtId="3" fontId="11" fillId="0" borderId="0" xfId="0" quotePrefix="1" applyNumberFormat="1" applyFont="1" applyAlignment="1">
      <alignment horizontal="right" vertical="center"/>
    </xf>
    <xf numFmtId="3" fontId="13" fillId="2" borderId="0" xfId="0" applyNumberFormat="1" applyFont="1" applyFill="1" applyAlignment="1">
      <alignment vertical="center"/>
    </xf>
    <xf numFmtId="3" fontId="13" fillId="2" borderId="0" xfId="0" quotePrefix="1" applyNumberFormat="1" applyFont="1" applyFill="1" applyAlignment="1">
      <alignment horizontal="right" vertical="center"/>
    </xf>
    <xf numFmtId="3" fontId="11" fillId="2" borderId="0" xfId="0" quotePrefix="1" applyNumberFormat="1" applyFont="1" applyFill="1" applyAlignment="1">
      <alignment horizontal="right" vertical="center"/>
    </xf>
    <xf numFmtId="3" fontId="20" fillId="2" borderId="0" xfId="0" applyNumberFormat="1" applyFont="1" applyFill="1" applyAlignment="1">
      <alignment vertical="center"/>
    </xf>
    <xf numFmtId="164" fontId="20" fillId="2" borderId="0" xfId="0" applyNumberFormat="1" applyFont="1" applyFill="1" applyAlignment="1">
      <alignment vertical="center"/>
    </xf>
    <xf numFmtId="41" fontId="1" fillId="0" borderId="0" xfId="0" applyNumberFormat="1" applyFont="1" applyAlignment="1">
      <alignment vertical="center"/>
    </xf>
    <xf numFmtId="41" fontId="18" fillId="0" borderId="0" xfId="0" applyNumberFormat="1" applyFont="1" applyAlignment="1">
      <alignment vertical="center"/>
    </xf>
    <xf numFmtId="41" fontId="36" fillId="0" borderId="0" xfId="0" quotePrefix="1" applyNumberFormat="1" applyFont="1" applyAlignment="1">
      <alignment horizontal="right" vertical="center"/>
    </xf>
    <xf numFmtId="164" fontId="13" fillId="2" borderId="0" xfId="0" applyNumberFormat="1" applyFont="1" applyFill="1" applyAlignment="1">
      <alignment vertical="center"/>
    </xf>
    <xf numFmtId="41" fontId="20" fillId="2" borderId="0" xfId="0" applyNumberFormat="1" applyFont="1" applyFill="1" applyAlignment="1">
      <alignment horizontal="center" vertical="center"/>
    </xf>
    <xf numFmtId="41" fontId="14" fillId="2" borderId="0" xfId="0" applyNumberFormat="1" applyFont="1" applyFill="1" applyAlignment="1">
      <alignment vertical="center"/>
    </xf>
    <xf numFmtId="41" fontId="20" fillId="2" borderId="0" xfId="0" applyNumberFormat="1" applyFont="1" applyFill="1" applyAlignment="1">
      <alignment vertical="center"/>
    </xf>
    <xf numFmtId="41" fontId="14" fillId="2" borderId="0" xfId="0" applyNumberFormat="1" applyFont="1" applyFill="1" applyAlignment="1">
      <alignment horizontal="left" vertical="center"/>
    </xf>
    <xf numFmtId="41" fontId="18" fillId="2" borderId="0" xfId="0" applyNumberFormat="1" applyFont="1" applyFill="1" applyAlignment="1">
      <alignment vertical="center"/>
    </xf>
    <xf numFmtId="3" fontId="18" fillId="2" borderId="0" xfId="0" applyNumberFormat="1" applyFont="1" applyFill="1" applyAlignment="1">
      <alignment vertical="center"/>
    </xf>
    <xf numFmtId="164" fontId="18" fillId="2" borderId="0" xfId="0" applyNumberFormat="1" applyFont="1" applyFill="1" applyAlignment="1">
      <alignment vertical="center"/>
    </xf>
    <xf numFmtId="41" fontId="1" fillId="2" borderId="0" xfId="0" applyNumberFormat="1" applyFont="1" applyFill="1" applyAlignment="1">
      <alignment vertical="center"/>
    </xf>
    <xf numFmtId="166" fontId="1" fillId="2" borderId="0" xfId="0" applyNumberFormat="1" applyFont="1" applyFill="1" applyAlignment="1">
      <alignment horizontal="center" vertical="center"/>
    </xf>
    <xf numFmtId="41" fontId="1" fillId="2" borderId="0" xfId="0" applyNumberFormat="1" applyFont="1" applyFill="1" applyAlignment="1">
      <alignment horizontal="center" vertical="center"/>
    </xf>
    <xf numFmtId="41" fontId="13" fillId="2" borderId="0" xfId="0" applyNumberFormat="1" applyFont="1" applyFill="1" applyAlignment="1">
      <alignment vertical="center"/>
    </xf>
    <xf numFmtId="41" fontId="1" fillId="2" borderId="0" xfId="0" quotePrefix="1" applyNumberFormat="1" applyFont="1" applyFill="1" applyAlignment="1">
      <alignment horizontal="center" vertical="center"/>
    </xf>
    <xf numFmtId="166" fontId="1" fillId="2" borderId="0" xfId="0" applyNumberFormat="1" applyFont="1" applyFill="1" applyAlignment="1">
      <alignment horizontal="right" vertical="center"/>
    </xf>
    <xf numFmtId="41" fontId="36" fillId="2" borderId="0" xfId="0" quotePrefix="1" applyNumberFormat="1" applyFont="1" applyFill="1" applyAlignment="1">
      <alignment horizontal="right" vertical="center"/>
    </xf>
    <xf numFmtId="166" fontId="1" fillId="2" borderId="0" xfId="0" applyNumberFormat="1" applyFont="1" applyFill="1" applyAlignment="1">
      <alignment horizontal="center" vertical="center" wrapText="1"/>
    </xf>
    <xf numFmtId="0" fontId="36" fillId="0" borderId="0" xfId="0" applyFont="1" applyAlignment="1">
      <alignment vertical="center"/>
    </xf>
    <xf numFmtId="0" fontId="41" fillId="0" borderId="0" xfId="0" applyFont="1" applyAlignment="1">
      <alignment vertical="center"/>
    </xf>
    <xf numFmtId="0" fontId="1" fillId="0" borderId="0" xfId="0" applyFont="1" applyAlignment="1">
      <alignment vertical="top"/>
    </xf>
    <xf numFmtId="0" fontId="42" fillId="0" borderId="0" xfId="0" applyFont="1" applyAlignment="1">
      <alignment vertical="center"/>
    </xf>
    <xf numFmtId="3" fontId="9" fillId="0" borderId="0" xfId="0" applyNumberFormat="1" applyFont="1" applyAlignment="1">
      <alignment vertical="center"/>
    </xf>
    <xf numFmtId="3" fontId="19" fillId="0" borderId="0" xfId="0" applyNumberFormat="1" applyFont="1" applyAlignment="1">
      <alignment vertical="center"/>
    </xf>
    <xf numFmtId="0" fontId="18" fillId="0" borderId="0" xfId="0" applyFont="1" applyAlignment="1">
      <alignment horizontal="centerContinuous" vertical="center"/>
    </xf>
    <xf numFmtId="166" fontId="18" fillId="0" borderId="0" xfId="0" applyNumberFormat="1" applyFont="1" applyAlignment="1">
      <alignment vertical="center"/>
    </xf>
    <xf numFmtId="166" fontId="18" fillId="0" borderId="0" xfId="0" applyNumberFormat="1" applyFont="1" applyAlignment="1">
      <alignment horizontal="center" vertical="center"/>
    </xf>
    <xf numFmtId="0" fontId="36" fillId="0" borderId="0" xfId="0" applyFont="1"/>
    <xf numFmtId="165" fontId="21" fillId="0" borderId="0" xfId="0" applyNumberFormat="1" applyFont="1" applyAlignment="1">
      <alignment horizontal="right" vertical="center"/>
    </xf>
    <xf numFmtId="0" fontId="9" fillId="0" borderId="0" xfId="0" applyFont="1" applyAlignment="1">
      <alignment vertical="center"/>
    </xf>
    <xf numFmtId="164" fontId="9" fillId="0" borderId="0" xfId="0" applyNumberFormat="1" applyFont="1" applyAlignment="1">
      <alignment vertical="center"/>
    </xf>
    <xf numFmtId="166" fontId="9" fillId="0" borderId="0" xfId="0" applyNumberFormat="1" applyFont="1" applyAlignment="1">
      <alignment vertical="center"/>
    </xf>
    <xf numFmtId="0" fontId="9" fillId="0" borderId="0" xfId="0" applyFont="1" applyAlignment="1">
      <alignment vertical="top"/>
    </xf>
    <xf numFmtId="0" fontId="9" fillId="0" borderId="0" xfId="0" applyFont="1"/>
    <xf numFmtId="0" fontId="10" fillId="0" borderId="0" xfId="0" applyFont="1"/>
    <xf numFmtId="0" fontId="16" fillId="0" borderId="0" xfId="0" applyFont="1"/>
    <xf numFmtId="0" fontId="8" fillId="0" borderId="0" xfId="0" applyFont="1"/>
    <xf numFmtId="166" fontId="28" fillId="2" borderId="0" xfId="0" applyNumberFormat="1" applyFont="1" applyFill="1" applyAlignment="1">
      <alignment horizontal="center" vertical="center"/>
    </xf>
    <xf numFmtId="0" fontId="8" fillId="2" borderId="0" xfId="0" applyFont="1" applyFill="1"/>
    <xf numFmtId="166" fontId="36" fillId="2" borderId="0" xfId="0" applyNumberFormat="1" applyFont="1" applyFill="1" applyAlignment="1">
      <alignment horizontal="right" vertical="center"/>
    </xf>
    <xf numFmtId="0" fontId="11" fillId="0" borderId="0" xfId="0" applyFont="1" applyAlignment="1">
      <alignment horizontal="left" vertical="top"/>
    </xf>
    <xf numFmtId="0" fontId="11" fillId="0" borderId="0" xfId="0" applyFont="1" applyAlignment="1">
      <alignment horizontal="left" indent="1"/>
    </xf>
    <xf numFmtId="0" fontId="49" fillId="0" borderId="0" xfId="0" applyFont="1" applyAlignment="1">
      <alignment vertical="center"/>
    </xf>
    <xf numFmtId="0" fontId="48" fillId="0" borderId="0" xfId="0" applyFont="1" applyAlignment="1">
      <alignment horizontal="center" vertical="center" wrapText="1"/>
    </xf>
    <xf numFmtId="164" fontId="4" fillId="0" borderId="0" xfId="1" applyNumberFormat="1" applyFont="1" applyBorder="1" applyAlignment="1">
      <alignment horizontal="center" vertical="center"/>
    </xf>
    <xf numFmtId="164" fontId="4" fillId="0" borderId="0" xfId="1" applyNumberFormat="1" applyFont="1" applyBorder="1" applyAlignment="1">
      <alignment horizontal="right" vertical="center"/>
    </xf>
    <xf numFmtId="0" fontId="4" fillId="0" borderId="0" xfId="0" applyFont="1" applyAlignment="1">
      <alignment horizontal="left" vertical="center"/>
    </xf>
    <xf numFmtId="164" fontId="21" fillId="0" borderId="0" xfId="0" quotePrefix="1" applyNumberFormat="1" applyFont="1" applyAlignment="1">
      <alignment horizontal="center" vertical="center"/>
    </xf>
    <xf numFmtId="164" fontId="4" fillId="0" borderId="0" xfId="0" applyNumberFormat="1" applyFont="1" applyAlignment="1">
      <alignment vertical="center"/>
    </xf>
    <xf numFmtId="0" fontId="51" fillId="0" borderId="0" xfId="0" applyFont="1" applyAlignment="1">
      <alignment vertical="center"/>
    </xf>
    <xf numFmtId="164" fontId="16" fillId="0" borderId="0" xfId="0" quotePrefix="1" applyNumberFormat="1" applyFont="1" applyAlignment="1">
      <alignment horizontal="right" vertical="center"/>
    </xf>
    <xf numFmtId="170" fontId="4" fillId="0" borderId="0" xfId="1" quotePrefix="1" applyNumberFormat="1" applyFont="1" applyBorder="1" applyAlignment="1">
      <alignment horizontal="center" vertical="center"/>
    </xf>
    <xf numFmtId="164" fontId="21" fillId="0" borderId="0" xfId="0" applyNumberFormat="1" applyFont="1" applyAlignment="1">
      <alignment vertical="center"/>
    </xf>
    <xf numFmtId="0" fontId="16" fillId="0" borderId="0" xfId="0" applyFont="1" applyAlignment="1">
      <alignment horizontal="left" vertical="center" wrapText="1"/>
    </xf>
    <xf numFmtId="0" fontId="20" fillId="3" borderId="0" xfId="0" applyFont="1" applyFill="1" applyAlignment="1">
      <alignment horizontal="center" vertical="center"/>
    </xf>
    <xf numFmtId="0" fontId="18" fillId="0" borderId="0" xfId="0" applyFont="1" applyAlignment="1">
      <alignment horizontal="center" vertical="center" wrapText="1"/>
    </xf>
    <xf numFmtId="0" fontId="20" fillId="2" borderId="0" xfId="0" applyFont="1" applyFill="1" applyAlignment="1">
      <alignment horizontal="center" vertical="center"/>
    </xf>
    <xf numFmtId="0" fontId="20" fillId="2" borderId="0" xfId="0" applyFont="1" applyFill="1" applyAlignment="1">
      <alignment horizontal="center" vertical="center" wrapText="1"/>
    </xf>
    <xf numFmtId="0" fontId="18" fillId="2" borderId="0" xfId="0" applyFont="1" applyFill="1" applyAlignment="1">
      <alignment horizontal="center" vertical="center" wrapText="1"/>
    </xf>
    <xf numFmtId="0" fontId="1" fillId="2" borderId="0" xfId="0" applyFont="1" applyFill="1" applyAlignment="1">
      <alignment horizontal="center" vertical="center" wrapText="1"/>
    </xf>
    <xf numFmtId="4" fontId="1" fillId="0" borderId="0" xfId="0" applyNumberFormat="1" applyFont="1" applyAlignment="1">
      <alignment horizontal="right" vertical="center"/>
    </xf>
    <xf numFmtId="166" fontId="19" fillId="0" borderId="0" xfId="0" applyNumberFormat="1" applyFont="1" applyAlignment="1">
      <alignment horizontal="right" vertical="center" wrapText="1"/>
    </xf>
    <xf numFmtId="166" fontId="19" fillId="0" borderId="0" xfId="0" applyNumberFormat="1" applyFont="1" applyAlignment="1">
      <alignment horizontal="center" vertical="center" wrapText="1"/>
    </xf>
    <xf numFmtId="172" fontId="19" fillId="0" borderId="0" xfId="0" applyNumberFormat="1" applyFont="1" applyAlignment="1">
      <alignment horizontal="center" vertical="center" wrapText="1"/>
    </xf>
    <xf numFmtId="166" fontId="16" fillId="0" borderId="0" xfId="0" applyNumberFormat="1" applyFont="1" applyAlignment="1">
      <alignment horizontal="right" vertical="center" wrapText="1"/>
    </xf>
    <xf numFmtId="172" fontId="16" fillId="0" borderId="0" xfId="0" applyNumberFormat="1" applyFont="1" applyAlignment="1">
      <alignment horizontal="right" vertical="center" wrapText="1"/>
    </xf>
    <xf numFmtId="2" fontId="16" fillId="0" borderId="0" xfId="0" applyNumberFormat="1" applyFont="1" applyAlignment="1">
      <alignment horizontal="right" vertical="center" wrapText="1"/>
    </xf>
    <xf numFmtId="0" fontId="1" fillId="0" borderId="0" xfId="0" applyFont="1" applyAlignment="1">
      <alignment horizontal="center" vertical="center" wrapText="1"/>
    </xf>
    <xf numFmtId="166" fontId="19" fillId="0" borderId="0" xfId="0" quotePrefix="1" applyNumberFormat="1" applyFont="1" applyAlignment="1">
      <alignment horizontal="right" vertical="center" wrapText="1"/>
    </xf>
    <xf numFmtId="172" fontId="19" fillId="0" borderId="0" xfId="0" quotePrefix="1" applyNumberFormat="1" applyFont="1" applyAlignment="1">
      <alignment horizontal="right" vertical="center" wrapText="1"/>
    </xf>
    <xf numFmtId="166" fontId="16" fillId="0" borderId="0" xfId="0" applyNumberFormat="1" applyFont="1" applyAlignment="1">
      <alignment vertical="center" wrapText="1"/>
    </xf>
    <xf numFmtId="41" fontId="16" fillId="0" borderId="0" xfId="0" quotePrefix="1" applyNumberFormat="1" applyFont="1" applyAlignment="1">
      <alignment horizontal="center" vertical="center"/>
    </xf>
    <xf numFmtId="174" fontId="1" fillId="0" borderId="0" xfId="0" applyNumberFormat="1" applyFont="1" applyAlignment="1">
      <alignment horizontal="right" vertical="center"/>
    </xf>
    <xf numFmtId="41" fontId="1" fillId="0" borderId="0" xfId="0" applyNumberFormat="1" applyFont="1" applyAlignment="1">
      <alignment horizontal="right" vertical="center"/>
    </xf>
    <xf numFmtId="172" fontId="16" fillId="0" borderId="0" xfId="0" applyNumberFormat="1" applyFont="1" applyAlignment="1">
      <alignment horizontal="center" vertical="center"/>
    </xf>
    <xf numFmtId="166" fontId="16" fillId="0" borderId="0" xfId="0" applyNumberFormat="1" applyFont="1" applyAlignment="1">
      <alignment vertical="center"/>
    </xf>
    <xf numFmtId="170" fontId="16" fillId="0" borderId="0" xfId="0" applyNumberFormat="1" applyFont="1" applyAlignment="1">
      <alignment horizontal="center" vertical="center"/>
    </xf>
    <xf numFmtId="165" fontId="16" fillId="0" borderId="0" xfId="0" quotePrefix="1" applyNumberFormat="1" applyFont="1" applyAlignment="1">
      <alignment vertical="center"/>
    </xf>
    <xf numFmtId="165" fontId="16" fillId="0" borderId="0" xfId="0" applyNumberFormat="1" applyFont="1" applyAlignment="1">
      <alignment vertical="center"/>
    </xf>
    <xf numFmtId="170" fontId="16" fillId="0" borderId="0" xfId="0" quotePrefix="1" applyNumberFormat="1" applyFont="1" applyAlignment="1">
      <alignment vertical="center"/>
    </xf>
    <xf numFmtId="170" fontId="16" fillId="0" borderId="0" xfId="0" applyNumberFormat="1" applyFont="1" applyAlignment="1">
      <alignment horizontal="right" vertical="center"/>
    </xf>
    <xf numFmtId="165" fontId="16" fillId="0" borderId="0" xfId="0" applyNumberFormat="1" applyFont="1" applyAlignment="1">
      <alignment horizontal="right" vertical="center"/>
    </xf>
    <xf numFmtId="166" fontId="1" fillId="0" borderId="0" xfId="0" quotePrefix="1" applyNumberFormat="1" applyFont="1" applyAlignment="1">
      <alignment horizontal="center" vertical="center" wrapText="1"/>
    </xf>
    <xf numFmtId="164" fontId="1" fillId="0" borderId="0" xfId="0" quotePrefix="1" applyNumberFormat="1" applyFont="1" applyAlignment="1">
      <alignment horizontal="center" vertical="center"/>
    </xf>
    <xf numFmtId="166" fontId="1" fillId="0" borderId="0" xfId="0" quotePrefix="1" applyNumberFormat="1" applyFont="1" applyAlignment="1">
      <alignment vertical="center" wrapText="1"/>
    </xf>
    <xf numFmtId="166" fontId="1" fillId="0" borderId="0" xfId="0" applyNumberFormat="1" applyFont="1" applyAlignment="1">
      <alignment horizontal="center" vertical="center" wrapText="1"/>
    </xf>
    <xf numFmtId="165" fontId="16" fillId="0" borderId="0" xfId="0" applyNumberFormat="1" applyFont="1" applyAlignment="1">
      <alignment horizontal="center" vertical="center"/>
    </xf>
    <xf numFmtId="172" fontId="1" fillId="0" borderId="0" xfId="0" applyNumberFormat="1" applyFont="1" applyAlignment="1">
      <alignment vertical="center"/>
    </xf>
    <xf numFmtId="164" fontId="16" fillId="0" borderId="0" xfId="0" applyNumberFormat="1" applyFont="1" applyAlignment="1">
      <alignment horizontal="right" vertical="center"/>
    </xf>
    <xf numFmtId="164" fontId="16" fillId="0" borderId="0" xfId="0" applyNumberFormat="1" applyFont="1" applyAlignment="1">
      <alignment horizontal="center" vertical="center"/>
    </xf>
    <xf numFmtId="164" fontId="16" fillId="0" borderId="0" xfId="0" applyNumberFormat="1" applyFont="1" applyAlignment="1">
      <alignment horizontal="right" vertical="center" wrapText="1"/>
    </xf>
    <xf numFmtId="164" fontId="7" fillId="0" borderId="0" xfId="0" applyNumberFormat="1" applyFont="1" applyAlignment="1">
      <alignment horizontal="center" vertical="center"/>
    </xf>
    <xf numFmtId="164" fontId="7" fillId="0" borderId="0" xfId="0" applyNumberFormat="1" applyFont="1" applyAlignment="1">
      <alignment horizontal="right" vertical="center" wrapText="1"/>
    </xf>
    <xf numFmtId="164" fontId="8" fillId="0" borderId="0" xfId="0" applyNumberFormat="1" applyFont="1" applyAlignment="1">
      <alignment horizontal="center" vertical="center"/>
    </xf>
    <xf numFmtId="164" fontId="8" fillId="0" borderId="0" xfId="0" applyNumberFormat="1" applyFont="1" applyAlignment="1">
      <alignment horizontal="right" vertical="center" wrapText="1"/>
    </xf>
    <xf numFmtId="164" fontId="9" fillId="0" borderId="0" xfId="0" applyNumberFormat="1" applyFont="1" applyAlignment="1">
      <alignment horizontal="left" vertical="center"/>
    </xf>
    <xf numFmtId="0" fontId="24" fillId="3" borderId="3" xfId="0" applyFont="1" applyFill="1" applyBorder="1" applyAlignment="1">
      <alignment horizontal="center" vertical="center" wrapText="1"/>
    </xf>
    <xf numFmtId="3" fontId="18" fillId="0" borderId="0" xfId="0" applyNumberFormat="1" applyFont="1" applyAlignment="1">
      <alignment horizontal="right" vertical="center"/>
    </xf>
    <xf numFmtId="3" fontId="1" fillId="0" borderId="0" xfId="0" applyNumberFormat="1" applyFont="1" applyAlignment="1">
      <alignment horizontal="right" vertical="center"/>
    </xf>
    <xf numFmtId="166" fontId="36" fillId="0" borderId="0" xfId="0" applyNumberFormat="1" applyFont="1" applyAlignment="1">
      <alignment horizontal="right" vertical="center"/>
    </xf>
    <xf numFmtId="0" fontId="37" fillId="3" borderId="0" xfId="0" applyFont="1" applyFill="1" applyAlignment="1">
      <alignment horizontal="center" vertical="center"/>
    </xf>
    <xf numFmtId="172" fontId="1" fillId="0" borderId="0" xfId="0" applyNumberFormat="1" applyFont="1" applyAlignment="1">
      <alignment horizontal="center" vertical="center"/>
    </xf>
    <xf numFmtId="166" fontId="1" fillId="0" borderId="0" xfId="0" quotePrefix="1" applyNumberFormat="1" applyFont="1" applyAlignment="1">
      <alignment horizontal="center" vertical="center"/>
    </xf>
    <xf numFmtId="0" fontId="37" fillId="3" borderId="9" xfId="0" applyFont="1" applyFill="1" applyBorder="1" applyAlignment="1">
      <alignment horizontal="center" vertical="center"/>
    </xf>
    <xf numFmtId="0" fontId="37" fillId="3" borderId="10" xfId="0" applyFont="1" applyFill="1" applyBorder="1" applyAlignment="1">
      <alignment horizontal="center" vertical="center"/>
    </xf>
    <xf numFmtId="3" fontId="1" fillId="0" borderId="0" xfId="0" quotePrefix="1" applyNumberFormat="1" applyFont="1" applyAlignment="1">
      <alignment horizontal="right" vertical="center"/>
    </xf>
    <xf numFmtId="3" fontId="1" fillId="0" borderId="0" xfId="0" quotePrefix="1" applyNumberFormat="1" applyFont="1" applyAlignment="1">
      <alignment vertical="center"/>
    </xf>
    <xf numFmtId="3" fontId="36" fillId="0" borderId="0" xfId="0" applyNumberFormat="1" applyFont="1" applyAlignment="1">
      <alignment horizontal="left" vertical="center"/>
    </xf>
    <xf numFmtId="164" fontId="36" fillId="0" borderId="0" xfId="0" applyNumberFormat="1" applyFont="1" applyAlignment="1">
      <alignment horizontal="left" vertical="center"/>
    </xf>
    <xf numFmtId="3" fontId="1" fillId="0" borderId="0" xfId="0" applyNumberFormat="1" applyFont="1" applyAlignment="1">
      <alignment horizontal="right"/>
    </xf>
    <xf numFmtId="0" fontId="2" fillId="0" borderId="0" xfId="0" quotePrefix="1" applyFont="1" applyAlignment="1">
      <alignment horizontal="center" vertical="center" wrapText="1"/>
    </xf>
    <xf numFmtId="3" fontId="4" fillId="0" borderId="0" xfId="0" applyNumberFormat="1" applyFont="1" applyAlignment="1">
      <alignment horizontal="left" vertical="top"/>
    </xf>
    <xf numFmtId="168" fontId="1" fillId="0" borderId="0" xfId="0" applyNumberFormat="1" applyFont="1" applyAlignment="1">
      <alignment horizontal="center" vertical="center"/>
    </xf>
    <xf numFmtId="168" fontId="18" fillId="0" borderId="0" xfId="0" applyNumberFormat="1" applyFont="1" applyAlignment="1">
      <alignment horizontal="center" vertical="center"/>
    </xf>
    <xf numFmtId="168" fontId="1" fillId="0" borderId="0" xfId="0" quotePrefix="1" applyNumberFormat="1" applyFont="1" applyAlignment="1">
      <alignment horizontal="center" vertical="center"/>
    </xf>
    <xf numFmtId="0" fontId="31" fillId="3" borderId="2" xfId="0" applyFont="1" applyFill="1" applyBorder="1" applyAlignment="1">
      <alignment horizontal="center" vertical="center" wrapText="1"/>
    </xf>
    <xf numFmtId="0" fontId="31" fillId="3" borderId="2" xfId="0" applyFont="1" applyFill="1" applyBorder="1" applyAlignment="1">
      <alignment horizontal="center" vertical="center"/>
    </xf>
    <xf numFmtId="0" fontId="31" fillId="3" borderId="9" xfId="0" applyFont="1" applyFill="1" applyBorder="1" applyAlignment="1">
      <alignment horizontal="center" vertical="center"/>
    </xf>
    <xf numFmtId="171" fontId="31" fillId="3" borderId="0" xfId="0" applyNumberFormat="1" applyFont="1" applyFill="1" applyAlignment="1">
      <alignment horizontal="center" vertical="center"/>
    </xf>
    <xf numFmtId="165" fontId="31" fillId="3" borderId="0" xfId="0" applyNumberFormat="1" applyFont="1" applyFill="1" applyAlignment="1">
      <alignment horizontal="center" vertical="center"/>
    </xf>
    <xf numFmtId="171" fontId="39" fillId="2" borderId="0" xfId="0" applyNumberFormat="1" applyFont="1" applyFill="1" applyAlignment="1">
      <alignment horizontal="center" vertical="center"/>
    </xf>
    <xf numFmtId="165" fontId="31" fillId="2" borderId="0" xfId="0" applyNumberFormat="1" applyFont="1" applyFill="1" applyAlignment="1">
      <alignment horizontal="center" vertical="center"/>
    </xf>
    <xf numFmtId="167" fontId="1" fillId="0" borderId="0" xfId="0" applyNumberFormat="1" applyFont="1" applyAlignment="1">
      <alignment horizontal="center" vertical="center" readingOrder="1"/>
    </xf>
    <xf numFmtId="167" fontId="18" fillId="0" borderId="0" xfId="0" applyNumberFormat="1" applyFont="1" applyAlignment="1">
      <alignment horizontal="center" vertical="center" readingOrder="1"/>
    </xf>
    <xf numFmtId="168" fontId="4" fillId="0" borderId="0" xfId="0" quotePrefix="1" applyNumberFormat="1" applyFont="1" applyAlignment="1">
      <alignment horizontal="center" vertical="center"/>
    </xf>
    <xf numFmtId="168" fontId="21" fillId="0" borderId="0" xfId="0" quotePrefix="1" applyNumberFormat="1" applyFont="1" applyAlignment="1">
      <alignment horizontal="left" vertical="center"/>
    </xf>
    <xf numFmtId="168" fontId="21" fillId="0" borderId="0" xfId="0" applyNumberFormat="1" applyFont="1" applyAlignment="1">
      <alignment horizontal="left" vertical="center"/>
    </xf>
    <xf numFmtId="167" fontId="1" fillId="0" borderId="0" xfId="0" quotePrefix="1" applyNumberFormat="1" applyFont="1" applyAlignment="1">
      <alignment horizontal="center" vertical="center" readingOrder="1"/>
    </xf>
    <xf numFmtId="167" fontId="18" fillId="0" borderId="0" xfId="0" quotePrefix="1" applyNumberFormat="1" applyFont="1" applyAlignment="1">
      <alignment horizontal="center" vertical="center" readingOrder="1"/>
    </xf>
    <xf numFmtId="171" fontId="1" fillId="0" borderId="0" xfId="0" quotePrefix="1" applyNumberFormat="1" applyFont="1" applyAlignment="1">
      <alignment horizontal="center" vertical="center"/>
    </xf>
    <xf numFmtId="168" fontId="17" fillId="0" borderId="0" xfId="0" quotePrefix="1" applyNumberFormat="1" applyFont="1" applyAlignment="1">
      <alignment horizontal="right" vertical="center"/>
    </xf>
    <xf numFmtId="168" fontId="10" fillId="0" borderId="0" xfId="0" quotePrefix="1" applyNumberFormat="1" applyFont="1" applyAlignment="1">
      <alignment horizontal="center" vertical="center"/>
    </xf>
    <xf numFmtId="168" fontId="1" fillId="0" borderId="0" xfId="0" applyNumberFormat="1" applyFont="1" applyAlignment="1">
      <alignment vertical="center"/>
    </xf>
    <xf numFmtId="168" fontId="16" fillId="0" borderId="0" xfId="0" quotePrefix="1" applyNumberFormat="1" applyFont="1" applyAlignment="1">
      <alignment horizontal="right" vertical="center"/>
    </xf>
    <xf numFmtId="168" fontId="18" fillId="0" borderId="0" xfId="0" quotePrefix="1" applyNumberFormat="1" applyFont="1" applyAlignment="1">
      <alignment horizontal="center" vertical="center"/>
    </xf>
    <xf numFmtId="168" fontId="4" fillId="0" borderId="0" xfId="0" applyNumberFormat="1" applyFont="1" applyAlignment="1">
      <alignment horizontal="left" vertical="center"/>
    </xf>
    <xf numFmtId="165" fontId="31" fillId="3" borderId="3" xfId="0" applyNumberFormat="1" applyFont="1" applyFill="1" applyBorder="1" applyAlignment="1">
      <alignment horizontal="center" vertical="center"/>
    </xf>
    <xf numFmtId="171" fontId="31" fillId="3" borderId="11" xfId="0" applyNumberFormat="1" applyFont="1" applyFill="1" applyBorder="1" applyAlignment="1">
      <alignment horizontal="center" vertical="center"/>
    </xf>
    <xf numFmtId="171" fontId="31" fillId="2" borderId="0" xfId="0" applyNumberFormat="1" applyFont="1" applyFill="1" applyAlignment="1">
      <alignment horizontal="center" vertical="center"/>
    </xf>
    <xf numFmtId="167" fontId="1" fillId="0" borderId="0" xfId="0" applyNumberFormat="1" applyFont="1" applyAlignment="1">
      <alignment vertical="center"/>
    </xf>
    <xf numFmtId="167" fontId="1" fillId="0" borderId="0" xfId="0" applyNumberFormat="1" applyFont="1" applyAlignment="1">
      <alignment horizontal="center" vertical="center"/>
    </xf>
    <xf numFmtId="167" fontId="18" fillId="0" borderId="0" xfId="0" applyNumberFormat="1" applyFont="1" applyAlignment="1">
      <alignment horizontal="center" vertical="center"/>
    </xf>
    <xf numFmtId="166" fontId="1" fillId="0" borderId="0" xfId="0" quotePrefix="1" applyNumberFormat="1" applyFont="1" applyAlignment="1">
      <alignment horizontal="right" vertical="center"/>
    </xf>
    <xf numFmtId="167" fontId="1" fillId="0" borderId="0" xfId="0" quotePrefix="1" applyNumberFormat="1" applyFont="1" applyAlignment="1">
      <alignment vertical="center"/>
    </xf>
    <xf numFmtId="167" fontId="18" fillId="0" borderId="0" xfId="0" quotePrefix="1" applyNumberFormat="1" applyFont="1" applyAlignment="1">
      <alignment horizontal="center" vertical="center"/>
    </xf>
    <xf numFmtId="0" fontId="22" fillId="3" borderId="16" xfId="0" applyFont="1" applyFill="1" applyBorder="1" applyAlignment="1">
      <alignment horizontal="centerContinuous" vertical="center"/>
    </xf>
    <xf numFmtId="171" fontId="31" fillId="3" borderId="9" xfId="0" applyNumberFormat="1" applyFont="1" applyFill="1" applyBorder="1" applyAlignment="1">
      <alignment horizontal="center" vertical="center"/>
    </xf>
    <xf numFmtId="165" fontId="31" fillId="3" borderId="4" xfId="0" applyNumberFormat="1" applyFont="1" applyFill="1" applyBorder="1" applyAlignment="1">
      <alignment horizontal="center" vertical="center"/>
    </xf>
    <xf numFmtId="164" fontId="13" fillId="0" borderId="0" xfId="0" applyNumberFormat="1" applyFont="1" applyAlignment="1">
      <alignment horizontal="right" vertical="center"/>
    </xf>
    <xf numFmtId="164" fontId="13" fillId="0" borderId="0" xfId="0" quotePrefix="1" applyNumberFormat="1" applyFont="1" applyAlignment="1">
      <alignment horizontal="center" vertical="center"/>
    </xf>
    <xf numFmtId="0" fontId="11" fillId="0" borderId="0" xfId="0" quotePrefix="1" applyFont="1" applyAlignment="1">
      <alignment horizontal="right" vertical="center"/>
    </xf>
    <xf numFmtId="0" fontId="13" fillId="0" borderId="0" xfId="0" quotePrefix="1" applyFont="1" applyAlignment="1">
      <alignment horizontal="right" vertical="center"/>
    </xf>
    <xf numFmtId="0" fontId="20" fillId="3" borderId="0" xfId="0" applyFont="1" applyFill="1" applyAlignment="1">
      <alignment vertical="center"/>
    </xf>
    <xf numFmtId="0" fontId="20" fillId="3" borderId="9" xfId="0" applyFont="1" applyFill="1" applyBorder="1" applyAlignment="1">
      <alignment horizontal="center" vertical="center"/>
    </xf>
    <xf numFmtId="0" fontId="20" fillId="3" borderId="10" xfId="0" applyFont="1" applyFill="1" applyBorder="1" applyAlignment="1">
      <alignment horizontal="center" vertical="center"/>
    </xf>
    <xf numFmtId="164" fontId="2" fillId="0" borderId="0" xfId="0" applyNumberFormat="1" applyFont="1" applyAlignment="1">
      <alignment horizontal="center" vertical="center"/>
    </xf>
    <xf numFmtId="0" fontId="24" fillId="3" borderId="7" xfId="0" applyFont="1" applyFill="1" applyBorder="1" applyAlignment="1">
      <alignment vertical="center"/>
    </xf>
    <xf numFmtId="0" fontId="20" fillId="3" borderId="10" xfId="0" applyFont="1" applyFill="1" applyBorder="1" applyAlignment="1">
      <alignment vertical="center"/>
    </xf>
    <xf numFmtId="0" fontId="20" fillId="3" borderId="4" xfId="0" applyFont="1" applyFill="1" applyBorder="1" applyAlignment="1">
      <alignment vertical="center"/>
    </xf>
    <xf numFmtId="41" fontId="13" fillId="0" borderId="0" xfId="0" applyNumberFormat="1" applyFont="1" applyAlignment="1">
      <alignment vertical="center"/>
    </xf>
    <xf numFmtId="41" fontId="36" fillId="0" borderId="0" xfId="0" applyNumberFormat="1" applyFont="1" applyAlignment="1">
      <alignment horizontal="right" vertical="center"/>
    </xf>
    <xf numFmtId="41" fontId="1" fillId="0" borderId="0" xfId="0" quotePrefix="1" applyNumberFormat="1" applyFont="1" applyAlignment="1">
      <alignment horizontal="right" vertical="center"/>
    </xf>
    <xf numFmtId="41" fontId="1" fillId="0" borderId="0" xfId="0" quotePrefix="1" applyNumberFormat="1" applyFont="1" applyAlignment="1">
      <alignment horizontal="left" vertical="center"/>
    </xf>
    <xf numFmtId="41" fontId="36" fillId="0" borderId="0" xfId="0" applyNumberFormat="1" applyFont="1" applyAlignment="1">
      <alignment vertical="center"/>
    </xf>
    <xf numFmtId="164" fontId="19" fillId="0" borderId="0" xfId="0" applyNumberFormat="1" applyFont="1" applyAlignment="1">
      <alignment horizontal="center" vertical="center"/>
    </xf>
    <xf numFmtId="165" fontId="19" fillId="0" borderId="0" xfId="0" applyNumberFormat="1" applyFont="1" applyAlignment="1">
      <alignment horizontal="right" vertical="center"/>
    </xf>
    <xf numFmtId="165" fontId="19" fillId="0" borderId="0" xfId="0" applyNumberFormat="1" applyFont="1" applyAlignment="1">
      <alignment vertical="center"/>
    </xf>
    <xf numFmtId="164" fontId="19" fillId="0" borderId="0" xfId="0" quotePrefix="1" applyNumberFormat="1" applyFont="1" applyAlignment="1">
      <alignment horizontal="center" vertical="center"/>
    </xf>
    <xf numFmtId="164" fontId="10" fillId="0" borderId="0" xfId="1" applyNumberFormat="1" applyFont="1" applyBorder="1" applyAlignment="1">
      <alignment horizontal="left" vertical="center"/>
    </xf>
    <xf numFmtId="165" fontId="19" fillId="0" borderId="0" xfId="0" quotePrefix="1" applyNumberFormat="1" applyFont="1" applyAlignment="1">
      <alignment horizontal="right" vertical="center"/>
    </xf>
    <xf numFmtId="164" fontId="16" fillId="0" borderId="0" xfId="0" quotePrefix="1" applyNumberFormat="1" applyFont="1" applyAlignment="1">
      <alignment horizontal="center" vertical="center"/>
    </xf>
    <xf numFmtId="165" fontId="19" fillId="0" borderId="0" xfId="0" applyNumberFormat="1" applyFont="1" applyAlignment="1">
      <alignment horizontal="center" vertical="center"/>
    </xf>
    <xf numFmtId="164" fontId="10" fillId="0" borderId="0" xfId="1" applyNumberFormat="1" applyFont="1" applyBorder="1" applyAlignment="1">
      <alignment horizontal="center" vertical="center"/>
    </xf>
    <xf numFmtId="0" fontId="24" fillId="2" borderId="0" xfId="0" applyFont="1" applyFill="1" applyAlignment="1">
      <alignment horizontal="center" vertical="center" wrapText="1"/>
    </xf>
    <xf numFmtId="0" fontId="36" fillId="0" borderId="0" xfId="0" applyFont="1" applyAlignment="1">
      <alignment horizontal="left" vertical="center"/>
    </xf>
    <xf numFmtId="164" fontId="18" fillId="0" borderId="0" xfId="0" applyNumberFormat="1" applyFont="1" applyAlignment="1">
      <alignment horizontal="center" vertical="center"/>
    </xf>
    <xf numFmtId="164" fontId="1" fillId="0" borderId="0" xfId="0" applyNumberFormat="1" applyFont="1"/>
    <xf numFmtId="164" fontId="18" fillId="5" borderId="0" xfId="0" applyNumberFormat="1" applyFont="1" applyFill="1" applyAlignment="1">
      <alignment horizontal="center" vertical="center"/>
    </xf>
    <xf numFmtId="164" fontId="18" fillId="2" borderId="0" xfId="0" applyNumberFormat="1" applyFont="1" applyFill="1" applyAlignment="1">
      <alignment horizontal="center" vertical="center"/>
    </xf>
    <xf numFmtId="164" fontId="1" fillId="5" borderId="0" xfId="0" applyNumberFormat="1" applyFont="1" applyFill="1"/>
    <xf numFmtId="2" fontId="1" fillId="0" borderId="0" xfId="0" applyNumberFormat="1" applyFont="1" applyAlignment="1">
      <alignment horizontal="center" vertical="center"/>
    </xf>
    <xf numFmtId="3" fontId="20" fillId="3" borderId="2" xfId="0" applyNumberFormat="1" applyFont="1" applyFill="1" applyBorder="1" applyAlignment="1">
      <alignment horizontal="center" vertical="center" wrapText="1"/>
    </xf>
    <xf numFmtId="3" fontId="20" fillId="3" borderId="2" xfId="0" applyNumberFormat="1" applyFont="1" applyFill="1" applyBorder="1" applyAlignment="1">
      <alignment horizontal="center" vertical="center"/>
    </xf>
    <xf numFmtId="14" fontId="1" fillId="5" borderId="0" xfId="0" applyNumberFormat="1" applyFont="1" applyFill="1" applyAlignment="1">
      <alignment horizontal="center" vertical="center"/>
    </xf>
    <xf numFmtId="166" fontId="8" fillId="0" borderId="0" xfId="0" quotePrefix="1" applyNumberFormat="1" applyFont="1" applyAlignment="1">
      <alignment horizontal="center" vertical="center"/>
    </xf>
    <xf numFmtId="166" fontId="16" fillId="0" borderId="0" xfId="0" quotePrefix="1" applyNumberFormat="1" applyFont="1" applyAlignment="1">
      <alignment horizontal="center" vertical="center"/>
    </xf>
    <xf numFmtId="166" fontId="8" fillId="0" borderId="0" xfId="0" applyNumberFormat="1" applyFont="1" applyAlignment="1">
      <alignment horizontal="center" vertical="center"/>
    </xf>
    <xf numFmtId="166" fontId="7" fillId="0" borderId="0" xfId="0" applyNumberFormat="1" applyFont="1" applyAlignment="1">
      <alignment horizontal="center" vertical="center"/>
    </xf>
    <xf numFmtId="166" fontId="10" fillId="0" borderId="0" xfId="0" applyNumberFormat="1" applyFont="1" applyAlignment="1">
      <alignment horizontal="left" vertical="center"/>
    </xf>
    <xf numFmtId="166" fontId="16" fillId="0" borderId="0" xfId="0" quotePrefix="1" applyNumberFormat="1" applyFont="1" applyAlignment="1">
      <alignment horizontal="left" vertical="center"/>
    </xf>
    <xf numFmtId="166" fontId="21" fillId="0" borderId="0" xfId="0" applyNumberFormat="1" applyFont="1" applyAlignment="1">
      <alignment horizontal="left" vertical="center"/>
    </xf>
    <xf numFmtId="168" fontId="18" fillId="5" borderId="0" xfId="0" quotePrefix="1" applyNumberFormat="1" applyFont="1" applyFill="1" applyAlignment="1">
      <alignment horizontal="center" vertical="center"/>
    </xf>
    <xf numFmtId="167" fontId="18" fillId="5" borderId="0" xfId="0" applyNumberFormat="1" applyFont="1" applyFill="1" applyAlignment="1">
      <alignment vertical="center"/>
    </xf>
    <xf numFmtId="167" fontId="18" fillId="5" borderId="0" xfId="0" applyNumberFormat="1" applyFont="1" applyFill="1" applyAlignment="1">
      <alignment horizontal="center" vertical="center"/>
    </xf>
    <xf numFmtId="167" fontId="18" fillId="5" borderId="0" xfId="0" quotePrefix="1" applyNumberFormat="1" applyFont="1" applyFill="1" applyAlignment="1">
      <alignment vertical="center"/>
    </xf>
    <xf numFmtId="167" fontId="1" fillId="0" borderId="0" xfId="0" quotePrefix="1" applyNumberFormat="1" applyFont="1" applyAlignment="1">
      <alignment horizontal="center" vertical="center"/>
    </xf>
    <xf numFmtId="167" fontId="18" fillId="5" borderId="0" xfId="0" quotePrefix="1" applyNumberFormat="1" applyFont="1" applyFill="1" applyAlignment="1">
      <alignment horizontal="center" vertical="center"/>
    </xf>
    <xf numFmtId="0" fontId="22" fillId="3" borderId="5" xfId="0" applyFont="1" applyFill="1" applyBorder="1" applyAlignment="1">
      <alignment horizontal="centerContinuous" vertical="center"/>
    </xf>
    <xf numFmtId="0" fontId="3" fillId="0" borderId="0" xfId="0" applyFont="1" applyAlignment="1">
      <alignment horizontal="center" vertical="center" wrapText="1"/>
    </xf>
    <xf numFmtId="0" fontId="3" fillId="5" borderId="0" xfId="0" applyFont="1" applyFill="1" applyAlignment="1">
      <alignment horizontal="center" vertical="center"/>
    </xf>
    <xf numFmtId="168" fontId="18" fillId="5" borderId="0" xfId="0" applyNumberFormat="1" applyFont="1" applyFill="1" applyAlignment="1">
      <alignment horizontal="center" vertical="center"/>
    </xf>
    <xf numFmtId="164" fontId="4" fillId="0" borderId="0" xfId="0" applyNumberFormat="1" applyFont="1" applyAlignment="1">
      <alignment horizontal="center" vertical="center"/>
    </xf>
    <xf numFmtId="0" fontId="9" fillId="0" borderId="0" xfId="0" applyFont="1" applyAlignment="1">
      <alignment horizontal="center" vertical="center"/>
    </xf>
    <xf numFmtId="41" fontId="10" fillId="0" borderId="0" xfId="1" applyNumberFormat="1" applyFont="1" applyBorder="1" applyAlignment="1">
      <alignment horizontal="center" vertical="center"/>
    </xf>
    <xf numFmtId="41" fontId="10" fillId="0" borderId="0" xfId="0" applyNumberFormat="1" applyFont="1" applyAlignment="1">
      <alignment horizontal="center" vertical="center"/>
    </xf>
    <xf numFmtId="41" fontId="10" fillId="0" borderId="0" xfId="0" quotePrefix="1" applyNumberFormat="1" applyFont="1" applyAlignment="1">
      <alignment horizontal="center" vertical="center"/>
    </xf>
    <xf numFmtId="166" fontId="28" fillId="2" borderId="0" xfId="0" applyNumberFormat="1" applyFont="1" applyFill="1" applyAlignment="1">
      <alignment horizontal="left" vertical="center" indent="1"/>
    </xf>
    <xf numFmtId="166" fontId="36" fillId="0" borderId="0" xfId="0" applyNumberFormat="1" applyFont="1" applyAlignment="1">
      <alignment horizontal="left" vertical="center"/>
    </xf>
    <xf numFmtId="166" fontId="17" fillId="0" borderId="0" xfId="0" applyNumberFormat="1" applyFont="1" applyAlignment="1">
      <alignment horizontal="left" vertical="center"/>
    </xf>
    <xf numFmtId="0" fontId="20" fillId="5" borderId="0" xfId="0" applyFont="1" applyFill="1" applyAlignment="1">
      <alignment horizontal="center" vertical="center"/>
    </xf>
    <xf numFmtId="0" fontId="1" fillId="5" borderId="0" xfId="0" applyFont="1" applyFill="1" applyAlignment="1">
      <alignment horizontal="center" vertical="center"/>
    </xf>
    <xf numFmtId="1" fontId="1" fillId="5" borderId="0" xfId="0" applyNumberFormat="1" applyFont="1" applyFill="1" applyAlignment="1">
      <alignment horizontal="center" vertical="center"/>
    </xf>
    <xf numFmtId="0" fontId="23" fillId="5" borderId="0" xfId="0" applyFont="1" applyFill="1" applyAlignment="1">
      <alignment horizontal="left" vertical="center" wrapText="1" indent="1"/>
    </xf>
    <xf numFmtId="0" fontId="16" fillId="5" borderId="0" xfId="0" applyFont="1" applyFill="1" applyAlignment="1">
      <alignment horizontal="left" vertical="center" indent="1"/>
    </xf>
    <xf numFmtId="0" fontId="23" fillId="5" borderId="0" xfId="0" applyFont="1" applyFill="1" applyAlignment="1">
      <alignment horizontal="left" vertical="center" indent="1"/>
    </xf>
    <xf numFmtId="0" fontId="24" fillId="6" borderId="3" xfId="0" applyFont="1" applyFill="1" applyBorder="1" applyAlignment="1">
      <alignment horizontal="center" vertical="center"/>
    </xf>
    <xf numFmtId="164" fontId="24" fillId="6" borderId="0" xfId="0" applyNumberFormat="1" applyFont="1" applyFill="1" applyAlignment="1">
      <alignment horizontal="center" vertical="center"/>
    </xf>
    <xf numFmtId="0" fontId="25" fillId="6" borderId="0" xfId="0" applyFont="1" applyFill="1" applyAlignment="1">
      <alignment vertical="center"/>
    </xf>
    <xf numFmtId="41" fontId="24" fillId="6" borderId="0" xfId="0" applyNumberFormat="1" applyFont="1" applyFill="1" applyAlignment="1">
      <alignment horizontal="center" vertical="center"/>
    </xf>
    <xf numFmtId="41" fontId="24" fillId="6" borderId="0" xfId="0" applyNumberFormat="1" applyFont="1" applyFill="1" applyAlignment="1">
      <alignment horizontal="right" vertical="center"/>
    </xf>
    <xf numFmtId="41" fontId="25" fillId="6" borderId="3" xfId="0" applyNumberFormat="1" applyFont="1" applyFill="1" applyBorder="1" applyAlignment="1">
      <alignment horizontal="center" vertical="center"/>
    </xf>
    <xf numFmtId="41" fontId="24" fillId="6" borderId="3" xfId="0" applyNumberFormat="1" applyFont="1" applyFill="1" applyBorder="1" applyAlignment="1">
      <alignment horizontal="center" vertical="center"/>
    </xf>
    <xf numFmtId="0" fontId="25" fillId="6" borderId="0" xfId="0" applyFont="1" applyFill="1" applyAlignment="1">
      <alignment horizontal="center" vertical="center"/>
    </xf>
    <xf numFmtId="0" fontId="1" fillId="5" borderId="0" xfId="0" applyFont="1" applyFill="1" applyAlignment="1">
      <alignment horizontal="left" vertical="center" indent="1"/>
    </xf>
    <xf numFmtId="0" fontId="16" fillId="5" borderId="0" xfId="0" applyFont="1" applyFill="1" applyAlignment="1">
      <alignment horizontal="left" vertical="center"/>
    </xf>
    <xf numFmtId="166" fontId="24" fillId="6" borderId="0" xfId="0" applyNumberFormat="1" applyFont="1" applyFill="1" applyAlignment="1">
      <alignment horizontal="center" vertical="center"/>
    </xf>
    <xf numFmtId="172" fontId="24" fillId="6" borderId="0" xfId="0" applyNumberFormat="1" applyFont="1" applyFill="1" applyAlignment="1">
      <alignment horizontal="center" vertical="center"/>
    </xf>
    <xf numFmtId="166" fontId="24" fillId="6" borderId="3" xfId="0" applyNumberFormat="1" applyFont="1" applyFill="1" applyBorder="1" applyAlignment="1">
      <alignment horizontal="center" vertical="center"/>
    </xf>
    <xf numFmtId="0" fontId="20" fillId="6" borderId="0" xfId="0" applyFont="1" applyFill="1"/>
    <xf numFmtId="166" fontId="25" fillId="6" borderId="3" xfId="0" applyNumberFormat="1" applyFont="1" applyFill="1" applyBorder="1" applyAlignment="1">
      <alignment vertical="center"/>
    </xf>
    <xf numFmtId="0" fontId="16" fillId="5" borderId="0" xfId="0" applyFont="1" applyFill="1" applyAlignment="1">
      <alignment horizontal="left" vertical="center" wrapText="1" indent="1"/>
    </xf>
    <xf numFmtId="0" fontId="1" fillId="5" borderId="0" xfId="0" applyFont="1" applyFill="1" applyAlignment="1">
      <alignment horizontal="left" vertical="center" wrapText="1" indent="1"/>
    </xf>
    <xf numFmtId="170" fontId="24" fillId="6" borderId="0" xfId="0" applyNumberFormat="1" applyFont="1" applyFill="1" applyAlignment="1">
      <alignment vertical="center"/>
    </xf>
    <xf numFmtId="165" fontId="24" fillId="6" borderId="0" xfId="0" applyNumberFormat="1" applyFont="1" applyFill="1" applyAlignment="1">
      <alignment vertical="center"/>
    </xf>
    <xf numFmtId="165" fontId="24" fillId="6" borderId="3" xfId="0" applyNumberFormat="1" applyFont="1" applyFill="1" applyBorder="1" applyAlignment="1">
      <alignment vertical="center"/>
    </xf>
    <xf numFmtId="0" fontId="1" fillId="5" borderId="0" xfId="0" applyFont="1" applyFill="1" applyAlignment="1">
      <alignment horizontal="left" vertical="center"/>
    </xf>
    <xf numFmtId="0" fontId="22" fillId="6" borderId="3" xfId="0" applyFont="1" applyFill="1" applyBorder="1" applyAlignment="1">
      <alignment horizontal="center" vertical="center"/>
    </xf>
    <xf numFmtId="166" fontId="22" fillId="6" borderId="0" xfId="0" applyNumberFormat="1" applyFont="1" applyFill="1" applyAlignment="1">
      <alignment vertical="center"/>
    </xf>
    <xf numFmtId="172" fontId="22" fillId="6" borderId="0" xfId="0" applyNumberFormat="1" applyFont="1" applyFill="1" applyAlignment="1">
      <alignment vertical="center"/>
    </xf>
    <xf numFmtId="166" fontId="22" fillId="6" borderId="3" xfId="0" applyNumberFormat="1" applyFont="1" applyFill="1" applyBorder="1" applyAlignment="1">
      <alignment vertical="center"/>
    </xf>
    <xf numFmtId="164" fontId="24" fillId="6" borderId="0" xfId="0" applyNumberFormat="1" applyFont="1" applyFill="1" applyAlignment="1">
      <alignment horizontal="right" vertical="center"/>
    </xf>
    <xf numFmtId="164" fontId="25" fillId="6" borderId="3" xfId="0" applyNumberFormat="1" applyFont="1" applyFill="1" applyBorder="1" applyAlignment="1">
      <alignment horizontal="right" vertical="center"/>
    </xf>
    <xf numFmtId="164" fontId="24" fillId="6" borderId="3" xfId="0" applyNumberFormat="1" applyFont="1" applyFill="1" applyBorder="1" applyAlignment="1">
      <alignment horizontal="right" vertical="center"/>
    </xf>
    <xf numFmtId="1" fontId="1" fillId="5" borderId="0" xfId="0" applyNumberFormat="1" applyFont="1" applyFill="1" applyAlignment="1">
      <alignment horizontal="left" vertical="center" indent="2"/>
    </xf>
    <xf numFmtId="1" fontId="18" fillId="5" borderId="0" xfId="0" applyNumberFormat="1" applyFont="1" applyFill="1" applyAlignment="1">
      <alignment horizontal="center" vertical="center"/>
    </xf>
    <xf numFmtId="0" fontId="20" fillId="6" borderId="3" xfId="0" applyFont="1" applyFill="1" applyBorder="1" applyAlignment="1">
      <alignment horizontal="center" vertical="center"/>
    </xf>
    <xf numFmtId="166" fontId="20" fillId="6" borderId="0" xfId="0" applyNumberFormat="1" applyFont="1" applyFill="1" applyAlignment="1">
      <alignment horizontal="center" vertical="center"/>
    </xf>
    <xf numFmtId="172" fontId="20" fillId="6" borderId="0" xfId="0" applyNumberFormat="1" applyFont="1" applyFill="1" applyAlignment="1">
      <alignment horizontal="center" vertical="center"/>
    </xf>
    <xf numFmtId="166" fontId="20" fillId="6" borderId="3" xfId="0" applyNumberFormat="1" applyFont="1" applyFill="1" applyBorder="1" applyAlignment="1">
      <alignment horizontal="center" vertical="center"/>
    </xf>
    <xf numFmtId="0" fontId="14" fillId="6" borderId="0" xfId="0" applyFont="1" applyFill="1"/>
    <xf numFmtId="3" fontId="28" fillId="6" borderId="3" xfId="0" applyNumberFormat="1" applyFont="1" applyFill="1" applyBorder="1" applyAlignment="1">
      <alignment horizontal="left" vertical="center" indent="1"/>
    </xf>
    <xf numFmtId="3" fontId="28" fillId="6" borderId="0" xfId="0" applyNumberFormat="1" applyFont="1" applyFill="1" applyAlignment="1">
      <alignment horizontal="center" vertical="center"/>
    </xf>
    <xf numFmtId="3" fontId="28" fillId="6" borderId="3" xfId="0" applyNumberFormat="1" applyFont="1" applyFill="1" applyBorder="1" applyAlignment="1">
      <alignment horizontal="center" vertical="center"/>
    </xf>
    <xf numFmtId="3" fontId="38" fillId="6" borderId="0" xfId="0" applyNumberFormat="1" applyFont="1" applyFill="1" applyAlignment="1">
      <alignment horizontal="center" vertical="center"/>
    </xf>
    <xf numFmtId="3" fontId="28" fillId="6" borderId="0" xfId="0" applyNumberFormat="1" applyFont="1" applyFill="1" applyAlignment="1">
      <alignment vertical="center"/>
    </xf>
    <xf numFmtId="3" fontId="38" fillId="6" borderId="3" xfId="0" applyNumberFormat="1" applyFont="1" applyFill="1" applyBorder="1" applyAlignment="1">
      <alignment horizontal="center" vertical="center"/>
    </xf>
    <xf numFmtId="164" fontId="28" fillId="6" borderId="0" xfId="0" applyNumberFormat="1" applyFont="1" applyFill="1" applyAlignment="1">
      <alignment horizontal="center" vertical="center"/>
    </xf>
    <xf numFmtId="164" fontId="28" fillId="6" borderId="0" xfId="0" applyNumberFormat="1" applyFont="1" applyFill="1" applyAlignment="1">
      <alignment vertical="center"/>
    </xf>
    <xf numFmtId="164" fontId="28" fillId="6" borderId="3" xfId="0" applyNumberFormat="1" applyFont="1" applyFill="1" applyBorder="1" applyAlignment="1">
      <alignment horizontal="center" vertical="center"/>
    </xf>
    <xf numFmtId="3" fontId="8" fillId="5" borderId="0" xfId="0" applyNumberFormat="1" applyFont="1" applyFill="1" applyAlignment="1">
      <alignment horizontal="left" vertical="center" indent="1"/>
    </xf>
    <xf numFmtId="171" fontId="20" fillId="6" borderId="0" xfId="0" applyNumberFormat="1" applyFont="1" applyFill="1" applyAlignment="1">
      <alignment horizontal="center" vertical="center"/>
    </xf>
    <xf numFmtId="167" fontId="20" fillId="6" borderId="0" xfId="0" applyNumberFormat="1" applyFont="1" applyFill="1" applyAlignment="1">
      <alignment horizontal="center" vertical="center" readingOrder="1"/>
    </xf>
    <xf numFmtId="168" fontId="20" fillId="6" borderId="0" xfId="0" applyNumberFormat="1" applyFont="1" applyFill="1" applyAlignment="1">
      <alignment horizontal="center" vertical="center"/>
    </xf>
    <xf numFmtId="0" fontId="22" fillId="5" borderId="0" xfId="0" applyFont="1" applyFill="1" applyAlignment="1">
      <alignment horizontal="center" vertical="center"/>
    </xf>
    <xf numFmtId="166" fontId="20" fillId="6" borderId="0" xfId="0" quotePrefix="1" applyNumberFormat="1" applyFont="1" applyFill="1" applyAlignment="1">
      <alignment horizontal="center" vertical="center"/>
    </xf>
    <xf numFmtId="167" fontId="20" fillId="6" borderId="0" xfId="0" applyNumberFormat="1" applyFont="1" applyFill="1" applyAlignment="1">
      <alignment vertical="center"/>
    </xf>
    <xf numFmtId="167" fontId="20" fillId="6" borderId="0" xfId="0" quotePrefix="1" applyNumberFormat="1" applyFont="1" applyFill="1" applyAlignment="1">
      <alignment horizontal="center" vertical="center"/>
    </xf>
    <xf numFmtId="167" fontId="20" fillId="6" borderId="0" xfId="0" applyNumberFormat="1" applyFont="1" applyFill="1" applyAlignment="1">
      <alignment horizontal="center" vertical="center"/>
    </xf>
    <xf numFmtId="0" fontId="2" fillId="5" borderId="0" xfId="0" applyFont="1" applyFill="1" applyAlignment="1">
      <alignment vertical="center"/>
    </xf>
    <xf numFmtId="0" fontId="13" fillId="5" borderId="0" xfId="0" applyFont="1" applyFill="1" applyAlignment="1">
      <alignment vertical="center"/>
    </xf>
    <xf numFmtId="0" fontId="13" fillId="5" borderId="0" xfId="0" applyFont="1" applyFill="1" applyAlignment="1">
      <alignment horizontal="left" vertical="center"/>
    </xf>
    <xf numFmtId="41" fontId="20" fillId="6" borderId="0" xfId="0" applyNumberFormat="1" applyFont="1" applyFill="1" applyAlignment="1">
      <alignment horizontal="center" vertical="center"/>
    </xf>
    <xf numFmtId="41" fontId="14" fillId="6" borderId="0" xfId="0" applyNumberFormat="1" applyFont="1" applyFill="1" applyAlignment="1">
      <alignment vertical="center"/>
    </xf>
    <xf numFmtId="41" fontId="20" fillId="6" borderId="0" xfId="0" applyNumberFormat="1" applyFont="1" applyFill="1" applyAlignment="1">
      <alignment vertical="center"/>
    </xf>
    <xf numFmtId="0" fontId="14" fillId="6" borderId="0" xfId="0" applyFont="1" applyFill="1" applyAlignment="1">
      <alignment vertical="center"/>
    </xf>
    <xf numFmtId="41" fontId="14" fillId="6" borderId="0" xfId="0" applyNumberFormat="1" applyFont="1" applyFill="1" applyAlignment="1">
      <alignment horizontal="left" vertical="center"/>
    </xf>
    <xf numFmtId="41" fontId="18" fillId="6" borderId="0" xfId="0" applyNumberFormat="1" applyFont="1" applyFill="1" applyAlignment="1">
      <alignment vertical="center"/>
    </xf>
    <xf numFmtId="41" fontId="20" fillId="6" borderId="3" xfId="0" applyNumberFormat="1" applyFont="1" applyFill="1" applyBorder="1" applyAlignment="1">
      <alignment vertical="center"/>
    </xf>
    <xf numFmtId="41" fontId="20" fillId="6" borderId="14" xfId="0" applyNumberFormat="1" applyFont="1" applyFill="1" applyBorder="1" applyAlignment="1">
      <alignment horizontal="center" vertical="center"/>
    </xf>
    <xf numFmtId="41" fontId="20" fillId="6" borderId="13" xfId="0" applyNumberFormat="1" applyFont="1" applyFill="1" applyBorder="1" applyAlignment="1">
      <alignment horizontal="center" vertical="center"/>
    </xf>
    <xf numFmtId="164" fontId="20" fillId="6" borderId="13" xfId="0" applyNumberFormat="1" applyFont="1" applyFill="1" applyBorder="1" applyAlignment="1">
      <alignment horizontal="center" vertical="center"/>
    </xf>
    <xf numFmtId="164" fontId="20" fillId="6" borderId="0" xfId="0" applyNumberFormat="1" applyFont="1" applyFill="1" applyAlignment="1">
      <alignment vertical="center"/>
    </xf>
    <xf numFmtId="0" fontId="20" fillId="6" borderId="0" xfId="0" applyFont="1" applyFill="1" applyAlignment="1">
      <alignment vertical="center"/>
    </xf>
    <xf numFmtId="166" fontId="14" fillId="6" borderId="0" xfId="0" applyNumberFormat="1" applyFont="1" applyFill="1" applyAlignment="1">
      <alignment horizontal="center" vertical="center"/>
    </xf>
    <xf numFmtId="0" fontId="20" fillId="6" borderId="0" xfId="0" applyFont="1" applyFill="1" applyAlignment="1">
      <alignment horizontal="center" vertical="center"/>
    </xf>
    <xf numFmtId="0" fontId="1" fillId="6" borderId="0" xfId="0" applyFont="1" applyFill="1" applyAlignment="1">
      <alignment vertical="center"/>
    </xf>
    <xf numFmtId="166" fontId="20" fillId="6" borderId="0" xfId="0" applyNumberFormat="1" applyFont="1" applyFill="1" applyAlignment="1">
      <alignment horizontal="left" vertical="center"/>
    </xf>
    <xf numFmtId="166" fontId="14" fillId="6" borderId="0" xfId="0" applyNumberFormat="1" applyFont="1" applyFill="1" applyAlignment="1">
      <alignment vertical="center"/>
    </xf>
    <xf numFmtId="166" fontId="20" fillId="6" borderId="0" xfId="0" applyNumberFormat="1" applyFont="1" applyFill="1" applyAlignment="1">
      <alignment vertical="center"/>
    </xf>
    <xf numFmtId="164" fontId="20" fillId="6" borderId="0" xfId="0" applyNumberFormat="1" applyFont="1" applyFill="1" applyAlignment="1">
      <alignment horizontal="center" vertical="center"/>
    </xf>
    <xf numFmtId="164" fontId="14" fillId="6" borderId="0" xfId="0" applyNumberFormat="1" applyFont="1" applyFill="1" applyAlignment="1">
      <alignment horizontal="center" vertical="center"/>
    </xf>
    <xf numFmtId="0" fontId="14" fillId="6" borderId="3" xfId="0" applyFont="1" applyFill="1" applyBorder="1" applyAlignment="1">
      <alignment vertical="center"/>
    </xf>
    <xf numFmtId="3" fontId="20" fillId="6" borderId="0" xfId="0" applyNumberFormat="1" applyFont="1" applyFill="1" applyAlignment="1">
      <alignment vertical="center"/>
    </xf>
    <xf numFmtId="164" fontId="20" fillId="6" borderId="3" xfId="0" applyNumberFormat="1" applyFont="1" applyFill="1" applyBorder="1" applyAlignment="1">
      <alignment horizontal="center" vertical="center"/>
    </xf>
    <xf numFmtId="0" fontId="16" fillId="5" borderId="0" xfId="0" applyFont="1" applyFill="1" applyAlignment="1">
      <alignment vertical="center"/>
    </xf>
    <xf numFmtId="0" fontId="19" fillId="5" borderId="0" xfId="0" applyFont="1" applyFill="1" applyAlignment="1">
      <alignment vertical="center"/>
    </xf>
    <xf numFmtId="170" fontId="16" fillId="5" borderId="0" xfId="0" applyNumberFormat="1" applyFont="1" applyFill="1" applyAlignment="1">
      <alignment horizontal="center" vertical="center"/>
    </xf>
    <xf numFmtId="170" fontId="16" fillId="5" borderId="0" xfId="1" quotePrefix="1" applyNumberFormat="1" applyFont="1" applyFill="1" applyBorder="1" applyAlignment="1">
      <alignment horizontal="center" vertical="center"/>
    </xf>
    <xf numFmtId="170" fontId="16" fillId="5" borderId="0" xfId="1" applyNumberFormat="1" applyFont="1" applyFill="1" applyBorder="1" applyAlignment="1">
      <alignment horizontal="center" vertical="center"/>
    </xf>
    <xf numFmtId="170" fontId="16" fillId="5" borderId="0" xfId="0" quotePrefix="1" applyNumberFormat="1" applyFont="1" applyFill="1" applyAlignment="1">
      <alignment horizontal="center" vertical="center"/>
    </xf>
    <xf numFmtId="0" fontId="24" fillId="6" borderId="0" xfId="0" applyFont="1" applyFill="1" applyAlignment="1">
      <alignment vertical="center"/>
    </xf>
    <xf numFmtId="170" fontId="22" fillId="6" borderId="0" xfId="1" applyNumberFormat="1" applyFont="1" applyFill="1" applyBorder="1" applyAlignment="1">
      <alignment vertical="center"/>
    </xf>
    <xf numFmtId="170" fontId="24" fillId="6" borderId="3" xfId="1" applyNumberFormat="1" applyFont="1" applyFill="1" applyBorder="1" applyAlignment="1">
      <alignment horizontal="center" vertical="center"/>
    </xf>
    <xf numFmtId="164" fontId="25" fillId="6" borderId="0" xfId="1" applyNumberFormat="1" applyFont="1" applyFill="1" applyBorder="1" applyAlignment="1">
      <alignment horizontal="center" vertical="center"/>
    </xf>
    <xf numFmtId="164" fontId="24" fillId="6" borderId="0" xfId="1" applyNumberFormat="1" applyFont="1" applyFill="1" applyBorder="1" applyAlignment="1">
      <alignment horizontal="center" vertical="center"/>
    </xf>
    <xf numFmtId="0" fontId="24" fillId="6" borderId="0" xfId="1" applyNumberFormat="1" applyFont="1" applyFill="1" applyBorder="1" applyAlignment="1">
      <alignment horizontal="center" vertical="center"/>
    </xf>
    <xf numFmtId="0" fontId="25" fillId="6" borderId="0" xfId="0" applyFont="1" applyFill="1" applyAlignment="1">
      <alignment horizontal="left" vertical="center"/>
    </xf>
    <xf numFmtId="170" fontId="24" fillId="6" borderId="3" xfId="0" quotePrefix="1" applyNumberFormat="1" applyFont="1" applyFill="1" applyBorder="1" applyAlignment="1">
      <alignment horizontal="center" vertical="center"/>
    </xf>
    <xf numFmtId="164" fontId="24" fillId="6" borderId="0" xfId="0" quotePrefix="1" applyNumberFormat="1" applyFont="1" applyFill="1" applyAlignment="1">
      <alignment horizontal="center" vertical="center"/>
    </xf>
    <xf numFmtId="165" fontId="24" fillId="6" borderId="0" xfId="1" applyFont="1" applyFill="1" applyBorder="1" applyAlignment="1">
      <alignment horizontal="center" vertical="center"/>
    </xf>
    <xf numFmtId="170" fontId="24" fillId="6" borderId="8" xfId="0" quotePrefix="1" applyNumberFormat="1" applyFont="1" applyFill="1" applyBorder="1" applyAlignment="1">
      <alignment horizontal="center" vertical="center"/>
    </xf>
    <xf numFmtId="0" fontId="4" fillId="5" borderId="0" xfId="0" applyFont="1" applyFill="1" applyAlignment="1">
      <alignment vertical="center"/>
    </xf>
    <xf numFmtId="0" fontId="4" fillId="5" borderId="0" xfId="0" applyFont="1" applyFill="1" applyAlignment="1">
      <alignment horizontal="left" vertical="center"/>
    </xf>
    <xf numFmtId="170" fontId="4" fillId="5" borderId="0" xfId="1" quotePrefix="1" applyNumberFormat="1" applyFont="1" applyFill="1" applyBorder="1" applyAlignment="1">
      <alignment horizontal="center" vertical="center"/>
    </xf>
    <xf numFmtId="0" fontId="24" fillId="5" borderId="0" xfId="0" applyFont="1" applyFill="1" applyAlignment="1">
      <alignment horizontal="center" vertical="center"/>
    </xf>
    <xf numFmtId="0" fontId="14" fillId="6" borderId="0" xfId="0" applyFont="1" applyFill="1" applyAlignment="1">
      <alignment horizontal="center" vertical="center"/>
    </xf>
    <xf numFmtId="166" fontId="28" fillId="6" borderId="3" xfId="0" applyNumberFormat="1" applyFont="1" applyFill="1" applyBorder="1" applyAlignment="1">
      <alignment horizontal="center" vertical="center"/>
    </xf>
    <xf numFmtId="166" fontId="28" fillId="6" borderId="0" xfId="0" applyNumberFormat="1" applyFont="1" applyFill="1" applyAlignment="1">
      <alignment horizontal="center" vertical="center"/>
    </xf>
    <xf numFmtId="1" fontId="1" fillId="5" borderId="0" xfId="0" applyNumberFormat="1" applyFont="1" applyFill="1" applyAlignment="1">
      <alignment horizontal="left" vertical="center" indent="1"/>
    </xf>
    <xf numFmtId="1" fontId="1" fillId="5" borderId="0" xfId="0" applyNumberFormat="1" applyFont="1" applyFill="1" applyAlignment="1">
      <alignment horizontal="left" vertical="center" indent="3"/>
    </xf>
    <xf numFmtId="0" fontId="46" fillId="6" borderId="0" xfId="0" applyFont="1" applyFill="1" applyAlignment="1">
      <alignment vertical="center"/>
    </xf>
    <xf numFmtId="41" fontId="47" fillId="6" borderId="0" xfId="1" applyNumberFormat="1" applyFont="1" applyFill="1" applyBorder="1" applyAlignment="1">
      <alignment horizontal="center" vertical="center"/>
    </xf>
    <xf numFmtId="41" fontId="45" fillId="6" borderId="0" xfId="1" applyNumberFormat="1" applyFont="1" applyFill="1" applyBorder="1" applyAlignment="1">
      <alignment horizontal="center" vertical="center"/>
    </xf>
    <xf numFmtId="41" fontId="45" fillId="6" borderId="0" xfId="0" applyNumberFormat="1" applyFont="1" applyFill="1" applyAlignment="1">
      <alignment vertical="center"/>
    </xf>
    <xf numFmtId="41" fontId="45" fillId="6" borderId="0" xfId="0" quotePrefix="1" applyNumberFormat="1" applyFont="1" applyFill="1" applyAlignment="1">
      <alignment horizontal="center" vertical="center"/>
    </xf>
    <xf numFmtId="164" fontId="22" fillId="6" borderId="0" xfId="0" applyNumberFormat="1" applyFont="1" applyFill="1" applyAlignment="1">
      <alignment horizontal="center" vertical="center"/>
    </xf>
    <xf numFmtId="165" fontId="22" fillId="6" borderId="0" xfId="0" applyNumberFormat="1" applyFont="1" applyFill="1" applyAlignment="1">
      <alignment horizontal="right" vertical="center"/>
    </xf>
    <xf numFmtId="0" fontId="22" fillId="6" borderId="0" xfId="0" applyFont="1" applyFill="1" applyAlignment="1">
      <alignment vertical="center"/>
    </xf>
    <xf numFmtId="41" fontId="45" fillId="6" borderId="0" xfId="0" applyNumberFormat="1" applyFont="1" applyFill="1" applyAlignment="1">
      <alignment horizontal="right" vertical="center"/>
    </xf>
    <xf numFmtId="41" fontId="45" fillId="6" borderId="0" xfId="0" applyNumberFormat="1" applyFont="1" applyFill="1" applyAlignment="1">
      <alignment horizontal="center" vertical="center"/>
    </xf>
    <xf numFmtId="41" fontId="45" fillId="6" borderId="0" xfId="0" quotePrefix="1" applyNumberFormat="1" applyFont="1" applyFill="1" applyAlignment="1">
      <alignment horizontal="right" vertical="center"/>
    </xf>
    <xf numFmtId="41" fontId="47" fillId="6" borderId="0" xfId="1" applyNumberFormat="1" applyFont="1" applyFill="1" applyBorder="1" applyAlignment="1">
      <alignment horizontal="left" vertical="center"/>
    </xf>
    <xf numFmtId="41" fontId="47" fillId="6" borderId="0" xfId="0" applyNumberFormat="1" applyFont="1" applyFill="1" applyAlignment="1">
      <alignment horizontal="center" vertical="center"/>
    </xf>
    <xf numFmtId="166" fontId="28" fillId="6" borderId="0" xfId="0" applyNumberFormat="1" applyFont="1" applyFill="1" applyAlignment="1">
      <alignment horizontal="left" vertical="center" indent="1"/>
    </xf>
    <xf numFmtId="166" fontId="16" fillId="5" borderId="0" xfId="0" applyNumberFormat="1" applyFont="1" applyFill="1" applyAlignment="1">
      <alignment horizontal="left" vertical="center" indent="1"/>
    </xf>
    <xf numFmtId="0" fontId="37" fillId="6" borderId="0" xfId="0" applyFont="1" applyFill="1" applyAlignment="1">
      <alignment horizontal="center" vertical="center" wrapText="1"/>
    </xf>
    <xf numFmtId="0" fontId="37" fillId="6" borderId="0" xfId="0" applyFont="1" applyFill="1" applyAlignment="1">
      <alignment horizontal="center" vertical="center"/>
    </xf>
    <xf numFmtId="41" fontId="20" fillId="6" borderId="7" xfId="0" applyNumberFormat="1" applyFont="1" applyFill="1" applyBorder="1" applyAlignment="1">
      <alignment vertical="center"/>
    </xf>
    <xf numFmtId="164" fontId="1" fillId="0" borderId="0" xfId="0" quotePrefix="1" applyNumberFormat="1" applyFont="1" applyAlignment="1">
      <alignment horizontal="left" vertical="center"/>
    </xf>
    <xf numFmtId="0" fontId="9" fillId="5" borderId="0" xfId="0" applyFont="1" applyFill="1" applyAlignment="1">
      <alignment horizontal="left" vertical="center" indent="1"/>
    </xf>
    <xf numFmtId="164" fontId="10" fillId="0" borderId="0" xfId="0" applyNumberFormat="1" applyFont="1" applyAlignment="1">
      <alignment horizontal="center" vertical="center"/>
    </xf>
    <xf numFmtId="0" fontId="10" fillId="5" borderId="0" xfId="0" applyFont="1" applyFill="1" applyAlignment="1">
      <alignment horizontal="left" vertical="center" indent="1"/>
    </xf>
    <xf numFmtId="0" fontId="10" fillId="0" borderId="0" xfId="0" applyFont="1" applyAlignment="1">
      <alignment vertical="center" wrapText="1"/>
    </xf>
    <xf numFmtId="164" fontId="10" fillId="0" borderId="0" xfId="0" quotePrefix="1" applyNumberFormat="1" applyFont="1" applyAlignment="1">
      <alignment horizontal="center" vertical="center"/>
    </xf>
    <xf numFmtId="41" fontId="28" fillId="6" borderId="0" xfId="0" applyNumberFormat="1" applyFont="1" applyFill="1" applyAlignment="1">
      <alignment horizontal="center" vertical="center"/>
    </xf>
    <xf numFmtId="41" fontId="28" fillId="6" borderId="0" xfId="0" applyNumberFormat="1" applyFont="1" applyFill="1" applyAlignment="1">
      <alignment vertical="center"/>
    </xf>
    <xf numFmtId="41" fontId="1" fillId="0" borderId="0" xfId="0" quotePrefix="1" applyNumberFormat="1" applyFont="1" applyAlignment="1">
      <alignment vertical="center"/>
    </xf>
    <xf numFmtId="41" fontId="36" fillId="0" borderId="0" xfId="0" quotePrefix="1" applyNumberFormat="1" applyFont="1" applyAlignment="1">
      <alignment vertical="center"/>
    </xf>
    <xf numFmtId="164" fontId="1" fillId="2" borderId="0" xfId="0" applyNumberFormat="1" applyFont="1" applyFill="1" applyAlignment="1">
      <alignment horizontal="center" vertical="center" wrapText="1"/>
    </xf>
    <xf numFmtId="0" fontId="11" fillId="0" borderId="0" xfId="0" applyFont="1" applyAlignment="1">
      <alignment horizontal="left"/>
    </xf>
    <xf numFmtId="166" fontId="16" fillId="0" borderId="0" xfId="0" quotePrefix="1" applyNumberFormat="1" applyFont="1" applyAlignment="1">
      <alignment horizontal="center" vertical="center" wrapText="1"/>
    </xf>
    <xf numFmtId="175" fontId="16" fillId="0" borderId="0" xfId="0" quotePrefix="1" applyNumberFormat="1" applyFont="1" applyAlignment="1">
      <alignment vertical="center" wrapText="1"/>
    </xf>
    <xf numFmtId="175" fontId="16" fillId="0" borderId="0" xfId="0" applyNumberFormat="1" applyFont="1" applyAlignment="1">
      <alignment horizontal="center" vertical="center" wrapText="1"/>
    </xf>
    <xf numFmtId="166" fontId="19" fillId="0" borderId="0" xfId="0" applyNumberFormat="1" applyFont="1" applyAlignment="1">
      <alignment horizontal="left" vertical="center" wrapText="1"/>
    </xf>
    <xf numFmtId="166" fontId="16" fillId="0" borderId="0" xfId="0" applyNumberFormat="1" applyFont="1" applyAlignment="1">
      <alignment horizontal="left" vertical="center" wrapText="1"/>
    </xf>
    <xf numFmtId="41" fontId="16" fillId="0" borderId="0" xfId="0" applyNumberFormat="1" applyFont="1" applyAlignment="1">
      <alignment vertical="center"/>
    </xf>
    <xf numFmtId="0" fontId="9" fillId="0" borderId="0" xfId="0" applyFont="1" applyAlignment="1">
      <alignment horizontal="left" vertical="center"/>
    </xf>
    <xf numFmtId="0" fontId="10" fillId="0" borderId="0" xfId="0" applyFont="1" applyAlignment="1">
      <alignment horizontal="center" vertical="center"/>
    </xf>
    <xf numFmtId="0" fontId="59" fillId="7" borderId="0" xfId="2" applyFont="1" applyFill="1" applyAlignment="1">
      <alignment horizontal="left" vertical="center" wrapText="1" indent="1"/>
    </xf>
    <xf numFmtId="175" fontId="19" fillId="0" borderId="0" xfId="0" applyNumberFormat="1" applyFont="1" applyAlignment="1">
      <alignment horizontal="right" vertical="center" wrapText="1"/>
    </xf>
    <xf numFmtId="175" fontId="16" fillId="0" borderId="0" xfId="0" applyNumberFormat="1" applyFont="1" applyAlignment="1">
      <alignment horizontal="right" vertical="center" wrapText="1"/>
    </xf>
    <xf numFmtId="164" fontId="19" fillId="0" borderId="0" xfId="0" quotePrefix="1" applyNumberFormat="1" applyFont="1" applyAlignment="1">
      <alignment horizontal="right" vertical="center"/>
    </xf>
    <xf numFmtId="164" fontId="16" fillId="2" borderId="0" xfId="0" quotePrefix="1" applyNumberFormat="1" applyFont="1" applyFill="1" applyAlignment="1">
      <alignment horizontal="right" vertical="center"/>
    </xf>
    <xf numFmtId="164" fontId="19" fillId="0" borderId="0" xfId="0" applyNumberFormat="1" applyFont="1" applyAlignment="1">
      <alignment horizontal="right" vertical="center"/>
    </xf>
    <xf numFmtId="0" fontId="0" fillId="0" borderId="0" xfId="0" applyAlignment="1">
      <alignment horizontal="left" vertical="center" wrapText="1" indent="1"/>
    </xf>
    <xf numFmtId="0" fontId="27"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vertical="center" shrinkToFit="1"/>
    </xf>
    <xf numFmtId="0" fontId="60" fillId="0" borderId="0" xfId="0" applyFont="1" applyAlignment="1">
      <alignment vertical="top" wrapText="1"/>
    </xf>
    <xf numFmtId="175" fontId="1" fillId="0" borderId="0" xfId="0" applyNumberFormat="1" applyFont="1" applyAlignment="1">
      <alignment vertical="center"/>
    </xf>
    <xf numFmtId="175" fontId="1" fillId="0" borderId="0" xfId="0" applyNumberFormat="1" applyFont="1" applyAlignment="1">
      <alignment horizontal="center" vertical="center"/>
    </xf>
    <xf numFmtId="167" fontId="18" fillId="0" borderId="0" xfId="0" applyNumberFormat="1" applyFont="1" applyAlignment="1">
      <alignment vertical="center"/>
    </xf>
    <xf numFmtId="175" fontId="1" fillId="0" borderId="0" xfId="0" quotePrefix="1" applyNumberFormat="1" applyFont="1" applyAlignment="1">
      <alignment horizontal="center" vertical="center"/>
    </xf>
    <xf numFmtId="175" fontId="16" fillId="0" borderId="0" xfId="0" applyNumberFormat="1" applyFont="1" applyAlignment="1">
      <alignment vertical="center"/>
    </xf>
    <xf numFmtId="175" fontId="1" fillId="0" borderId="0" xfId="0" quotePrefix="1" applyNumberFormat="1" applyFont="1" applyAlignment="1">
      <alignment horizontal="right" vertical="center"/>
    </xf>
    <xf numFmtId="167" fontId="18" fillId="0" borderId="0" xfId="0" quotePrefix="1" applyNumberFormat="1" applyFont="1" applyAlignment="1">
      <alignment vertical="center"/>
    </xf>
    <xf numFmtId="175" fontId="16" fillId="0" borderId="0" xfId="0" applyNumberFormat="1" applyFont="1" applyAlignment="1">
      <alignment horizontal="left" vertical="center"/>
    </xf>
    <xf numFmtId="2" fontId="1" fillId="0" borderId="0" xfId="0" quotePrefix="1" applyNumberFormat="1" applyFont="1" applyAlignment="1">
      <alignment vertical="center"/>
    </xf>
    <xf numFmtId="175" fontId="1" fillId="0" borderId="0" xfId="0" applyNumberFormat="1" applyFont="1" applyAlignment="1">
      <alignment horizontal="right" vertical="center"/>
    </xf>
    <xf numFmtId="168" fontId="4" fillId="0" borderId="0" xfId="0" quotePrefix="1" applyNumberFormat="1" applyFont="1" applyAlignment="1">
      <alignment horizontal="left" vertical="center"/>
    </xf>
    <xf numFmtId="41" fontId="36" fillId="0" borderId="0" xfId="0" quotePrefix="1" applyNumberFormat="1" applyFont="1" applyAlignment="1">
      <alignment horizontal="center" vertical="center"/>
    </xf>
    <xf numFmtId="175" fontId="16" fillId="0" borderId="0" xfId="1" applyNumberFormat="1" applyFont="1" applyAlignment="1">
      <alignment horizontal="center" vertical="center"/>
    </xf>
    <xf numFmtId="175" fontId="16" fillId="0" borderId="0" xfId="0" applyNumberFormat="1" applyFont="1" applyAlignment="1">
      <alignment horizontal="center" vertical="center"/>
    </xf>
    <xf numFmtId="175" fontId="16" fillId="0" borderId="0" xfId="0" quotePrefix="1" applyNumberFormat="1" applyFont="1" applyAlignment="1">
      <alignment horizontal="center" vertical="center"/>
    </xf>
    <xf numFmtId="175" fontId="36" fillId="0" borderId="0" xfId="1" applyNumberFormat="1" applyFont="1" applyAlignment="1">
      <alignment horizontal="center" vertical="center"/>
    </xf>
    <xf numFmtId="175" fontId="36" fillId="0" borderId="0" xfId="0" applyNumberFormat="1" applyFont="1" applyAlignment="1">
      <alignment horizontal="center" vertical="center"/>
    </xf>
    <xf numFmtId="175" fontId="36" fillId="0" borderId="0" xfId="0" quotePrefix="1" applyNumberFormat="1" applyFont="1" applyAlignment="1">
      <alignment horizontal="center" vertical="center"/>
    </xf>
    <xf numFmtId="164" fontId="36" fillId="0" borderId="0" xfId="1" applyNumberFormat="1" applyFont="1" applyBorder="1" applyAlignment="1">
      <alignment horizontal="center" vertical="center"/>
    </xf>
    <xf numFmtId="164" fontId="36" fillId="0" borderId="0" xfId="0" applyNumberFormat="1" applyFont="1" applyAlignment="1">
      <alignment horizontal="center" vertical="center"/>
    </xf>
    <xf numFmtId="164" fontId="36" fillId="0" borderId="0" xfId="1" applyNumberFormat="1" applyFont="1" applyBorder="1" applyAlignment="1">
      <alignment horizontal="left" vertical="center"/>
    </xf>
    <xf numFmtId="164" fontId="36" fillId="0" borderId="0" xfId="0" quotePrefix="1" applyNumberFormat="1" applyFont="1" applyAlignment="1">
      <alignment horizontal="center" vertical="center"/>
    </xf>
    <xf numFmtId="164" fontId="62" fillId="6" borderId="0" xfId="1" applyNumberFormat="1" applyFont="1" applyFill="1" applyBorder="1" applyAlignment="1">
      <alignment horizontal="center" vertical="center"/>
    </xf>
    <xf numFmtId="164" fontId="63" fillId="6" borderId="0" xfId="0" quotePrefix="1" applyNumberFormat="1" applyFont="1" applyFill="1" applyAlignment="1">
      <alignment horizontal="center" vertical="center"/>
    </xf>
    <xf numFmtId="0" fontId="36" fillId="0" borderId="0" xfId="0" applyFont="1" applyAlignment="1">
      <alignment horizontal="left"/>
    </xf>
    <xf numFmtId="0" fontId="36" fillId="0" borderId="0" xfId="0" applyFont="1" applyAlignment="1">
      <alignment vertical="center" wrapText="1"/>
    </xf>
    <xf numFmtId="164" fontId="17" fillId="0" borderId="0" xfId="0" applyNumberFormat="1" applyFont="1" applyAlignment="1">
      <alignment horizontal="right" vertical="center"/>
    </xf>
    <xf numFmtId="164" fontId="17" fillId="0" borderId="0" xfId="0" quotePrefix="1" applyNumberFormat="1" applyFont="1" applyAlignment="1">
      <alignment horizontal="right" vertical="center"/>
    </xf>
    <xf numFmtId="164" fontId="36" fillId="0" borderId="0" xfId="1" applyNumberFormat="1" applyFont="1" applyBorder="1" applyAlignment="1">
      <alignment horizontal="right" vertical="center"/>
    </xf>
    <xf numFmtId="164" fontId="63" fillId="6" borderId="0" xfId="1" applyNumberFormat="1" applyFont="1" applyFill="1" applyBorder="1" applyAlignment="1">
      <alignment horizontal="right" vertical="center"/>
    </xf>
    <xf numFmtId="164" fontId="63" fillId="6" borderId="0" xfId="0" quotePrefix="1" applyNumberFormat="1" applyFont="1" applyFill="1" applyAlignment="1">
      <alignment horizontal="right" vertical="center"/>
    </xf>
    <xf numFmtId="0" fontId="36" fillId="0" borderId="0" xfId="0" applyFont="1" applyAlignment="1">
      <alignment horizontal="right" vertical="center"/>
    </xf>
    <xf numFmtId="0" fontId="36" fillId="0" borderId="0" xfId="0" applyFont="1" applyAlignment="1">
      <alignment horizontal="right" vertical="center" wrapText="1"/>
    </xf>
    <xf numFmtId="0" fontId="36" fillId="0" borderId="0" xfId="0" applyFont="1" applyAlignment="1">
      <alignment horizontal="right"/>
    </xf>
    <xf numFmtId="175" fontId="36" fillId="0" borderId="0" xfId="1" applyNumberFormat="1" applyFont="1" applyAlignment="1">
      <alignment horizontal="left" vertical="center"/>
    </xf>
    <xf numFmtId="175" fontId="36" fillId="0" borderId="0" xfId="1" applyNumberFormat="1" applyFont="1" applyAlignment="1">
      <alignment horizontal="right" vertical="center"/>
    </xf>
    <xf numFmtId="175" fontId="4" fillId="0" borderId="0" xfId="1" applyNumberFormat="1" applyFont="1" applyBorder="1" applyAlignment="1">
      <alignment horizontal="center" vertical="center"/>
    </xf>
    <xf numFmtId="175" fontId="4" fillId="0" borderId="0" xfId="1" applyNumberFormat="1" applyFont="1" applyBorder="1" applyAlignment="1">
      <alignment horizontal="right" vertical="center"/>
    </xf>
    <xf numFmtId="175" fontId="4" fillId="0" borderId="0" xfId="0" applyNumberFormat="1" applyFont="1" applyAlignment="1">
      <alignment vertical="center"/>
    </xf>
    <xf numFmtId="175" fontId="4" fillId="0" borderId="0" xfId="1" applyNumberFormat="1" applyFont="1" applyBorder="1" applyAlignment="1">
      <alignment horizontal="left" vertical="center"/>
    </xf>
    <xf numFmtId="164" fontId="19" fillId="0" borderId="0" xfId="0" applyNumberFormat="1" applyFont="1" applyAlignment="1">
      <alignment vertical="center"/>
    </xf>
    <xf numFmtId="164" fontId="4" fillId="0" borderId="0" xfId="0" quotePrefix="1" applyNumberFormat="1" applyFont="1" applyAlignment="1">
      <alignment horizontal="right" vertical="center"/>
    </xf>
    <xf numFmtId="164" fontId="4" fillId="0" borderId="0" xfId="0" applyNumberFormat="1" applyFont="1" applyAlignment="1">
      <alignment horizontal="right" vertical="center"/>
    </xf>
    <xf numFmtId="164" fontId="21" fillId="0" borderId="0" xfId="0" applyNumberFormat="1" applyFont="1" applyAlignment="1">
      <alignment horizontal="center" vertical="center"/>
    </xf>
    <xf numFmtId="175" fontId="4" fillId="0" borderId="0" xfId="0" quotePrefix="1" applyNumberFormat="1" applyFont="1" applyAlignment="1">
      <alignment horizontal="right" vertical="center"/>
    </xf>
    <xf numFmtId="175" fontId="4" fillId="0" borderId="0" xfId="0" applyNumberFormat="1" applyFont="1" applyAlignment="1">
      <alignment horizontal="right" vertical="center"/>
    </xf>
    <xf numFmtId="175" fontId="21" fillId="0" borderId="0" xfId="0" applyNumberFormat="1" applyFont="1" applyAlignment="1">
      <alignment horizontal="center" vertical="center"/>
    </xf>
    <xf numFmtId="175" fontId="21" fillId="0" borderId="0" xfId="0" applyNumberFormat="1" applyFont="1" applyAlignment="1">
      <alignment horizontal="right" vertical="center"/>
    </xf>
    <xf numFmtId="175" fontId="21" fillId="0" borderId="0" xfId="0" quotePrefix="1" applyNumberFormat="1" applyFont="1" applyAlignment="1">
      <alignment horizontal="center" vertical="center"/>
    </xf>
    <xf numFmtId="176" fontId="21" fillId="0" borderId="0" xfId="0" applyNumberFormat="1" applyFont="1" applyAlignment="1">
      <alignment horizontal="right" vertical="center"/>
    </xf>
    <xf numFmtId="176" fontId="21" fillId="0" borderId="0" xfId="0" applyNumberFormat="1" applyFont="1" applyAlignment="1">
      <alignment horizontal="center" vertical="center"/>
    </xf>
    <xf numFmtId="175" fontId="4" fillId="0" borderId="0" xfId="0" quotePrefix="1" applyNumberFormat="1" applyFont="1" applyAlignment="1">
      <alignment horizontal="center" vertical="center"/>
    </xf>
    <xf numFmtId="176" fontId="4" fillId="0" borderId="0" xfId="0" applyNumberFormat="1" applyFont="1" applyAlignment="1">
      <alignment vertical="center"/>
    </xf>
    <xf numFmtId="175" fontId="21" fillId="0" borderId="0" xfId="0" applyNumberFormat="1" applyFont="1" applyAlignment="1">
      <alignment vertical="center"/>
    </xf>
    <xf numFmtId="0" fontId="50" fillId="7" borderId="0" xfId="2" applyFont="1" applyFill="1" applyAlignment="1">
      <alignment horizontal="center" vertical="center" wrapText="1"/>
    </xf>
    <xf numFmtId="0" fontId="50" fillId="7" borderId="0" xfId="2" applyFont="1" applyFill="1" applyAlignment="1">
      <alignment horizontal="left" vertical="center" wrapText="1" indent="1"/>
    </xf>
    <xf numFmtId="0" fontId="21" fillId="5" borderId="0" xfId="0" applyFont="1" applyFill="1" applyAlignment="1">
      <alignment horizontal="left" vertical="center" indent="1"/>
    </xf>
    <xf numFmtId="0" fontId="4" fillId="5" borderId="0" xfId="0" applyFont="1" applyFill="1" applyAlignment="1">
      <alignment horizontal="left" vertical="center" indent="1"/>
    </xf>
    <xf numFmtId="175" fontId="8" fillId="0" borderId="0" xfId="0" applyNumberFormat="1" applyFont="1" applyAlignment="1">
      <alignment vertical="center"/>
    </xf>
    <xf numFmtId="0" fontId="4" fillId="2" borderId="0" xfId="0" applyFont="1" applyFill="1" applyAlignment="1">
      <alignment vertical="center"/>
    </xf>
    <xf numFmtId="175" fontId="4" fillId="2" borderId="0" xfId="0" applyNumberFormat="1" applyFont="1" applyFill="1" applyAlignment="1">
      <alignment vertical="center"/>
    </xf>
    <xf numFmtId="164" fontId="4" fillId="2" borderId="0" xfId="0" applyNumberFormat="1" applyFont="1" applyFill="1" applyAlignment="1">
      <alignment vertical="center"/>
    </xf>
    <xf numFmtId="175" fontId="19" fillId="0" borderId="0" xfId="0" applyNumberFormat="1" applyFont="1" applyAlignment="1">
      <alignment vertical="center"/>
    </xf>
    <xf numFmtId="175" fontId="47" fillId="6" borderId="0" xfId="1" applyNumberFormat="1" applyFont="1" applyFill="1" applyBorder="1" applyAlignment="1">
      <alignment horizontal="right" vertical="center"/>
    </xf>
    <xf numFmtId="175" fontId="47" fillId="6" borderId="0" xfId="1" applyNumberFormat="1" applyFont="1" applyFill="1" applyBorder="1" applyAlignment="1">
      <alignment horizontal="center" vertical="center"/>
    </xf>
    <xf numFmtId="175" fontId="45" fillId="6" borderId="0" xfId="0" quotePrefix="1" applyNumberFormat="1" applyFont="1" applyFill="1" applyAlignment="1">
      <alignment horizontal="center" vertical="center"/>
    </xf>
    <xf numFmtId="176" fontId="45" fillId="6" borderId="0" xfId="0" quotePrefix="1" applyNumberFormat="1" applyFont="1" applyFill="1" applyAlignment="1">
      <alignment horizontal="center" vertical="center"/>
    </xf>
    <xf numFmtId="175" fontId="47" fillId="6" borderId="0" xfId="0" applyNumberFormat="1" applyFont="1" applyFill="1" applyAlignment="1">
      <alignment vertical="center"/>
    </xf>
    <xf numFmtId="0" fontId="14" fillId="0" borderId="0" xfId="0" applyFont="1" applyAlignment="1">
      <alignment horizontal="left" vertical="center" wrapText="1" indent="1"/>
    </xf>
    <xf numFmtId="166" fontId="14" fillId="0" borderId="0" xfId="0" applyNumberFormat="1" applyFont="1" applyAlignment="1">
      <alignment horizontal="center" vertical="center"/>
    </xf>
    <xf numFmtId="175" fontId="45" fillId="6" borderId="11" xfId="0" quotePrefix="1" applyNumberFormat="1" applyFont="1" applyFill="1" applyBorder="1" applyAlignment="1">
      <alignment horizontal="center" vertical="center"/>
    </xf>
    <xf numFmtId="0" fontId="46" fillId="0" borderId="0" xfId="0" applyFont="1" applyAlignment="1">
      <alignment vertical="center"/>
    </xf>
    <xf numFmtId="0" fontId="4" fillId="0" borderId="0" xfId="0" applyFont="1" applyAlignment="1">
      <alignment vertical="center" shrinkToFit="1"/>
    </xf>
    <xf numFmtId="0" fontId="4" fillId="0" borderId="0" xfId="0" applyFont="1" applyAlignment="1">
      <alignment horizontal="left"/>
    </xf>
    <xf numFmtId="0" fontId="4" fillId="0" borderId="0" xfId="0" applyFont="1" applyAlignment="1">
      <alignment vertical="center" wrapText="1"/>
    </xf>
    <xf numFmtId="0" fontId="4" fillId="0" borderId="0" xfId="0" applyFont="1" applyAlignment="1">
      <alignment horizontal="center" vertical="center"/>
    </xf>
    <xf numFmtId="175" fontId="43" fillId="6" borderId="0" xfId="0" quotePrefix="1" applyNumberFormat="1" applyFont="1" applyFill="1" applyAlignment="1">
      <alignment horizontal="left" vertical="center"/>
    </xf>
    <xf numFmtId="175" fontId="41" fillId="0" borderId="0" xfId="1" applyNumberFormat="1" applyFont="1" applyBorder="1" applyAlignment="1">
      <alignment horizontal="left" vertical="center"/>
    </xf>
    <xf numFmtId="175" fontId="40" fillId="0" borderId="0" xfId="0" quotePrefix="1" applyNumberFormat="1" applyFont="1" applyAlignment="1">
      <alignment horizontal="center" vertical="center"/>
    </xf>
    <xf numFmtId="0" fontId="64" fillId="0" borderId="0" xfId="0" applyFont="1" applyAlignment="1">
      <alignment vertical="center"/>
    </xf>
    <xf numFmtId="0" fontId="65" fillId="0" borderId="0" xfId="0" applyFont="1" applyAlignment="1">
      <alignment horizontal="left" vertical="center"/>
    </xf>
    <xf numFmtId="164" fontId="64" fillId="0" borderId="0" xfId="0" applyNumberFormat="1" applyFont="1" applyAlignment="1">
      <alignment vertical="center"/>
    </xf>
    <xf numFmtId="164" fontId="65" fillId="0" borderId="0" xfId="0" applyNumberFormat="1" applyFont="1" applyAlignment="1">
      <alignment vertical="center"/>
    </xf>
    <xf numFmtId="0" fontId="65" fillId="0" borderId="0" xfId="0" applyFont="1" applyAlignment="1">
      <alignment vertical="center"/>
    </xf>
    <xf numFmtId="0" fontId="11" fillId="0" borderId="0" xfId="0" quotePrefix="1" applyFont="1" applyAlignment="1">
      <alignment horizontal="left" vertical="center"/>
    </xf>
    <xf numFmtId="170" fontId="45" fillId="6" borderId="3" xfId="1" applyNumberFormat="1" applyFont="1" applyFill="1" applyBorder="1" applyAlignment="1">
      <alignment horizontal="left" vertical="center" indent="1"/>
    </xf>
    <xf numFmtId="175" fontId="9" fillId="6" borderId="0" xfId="0" quotePrefix="1" applyNumberFormat="1" applyFont="1" applyFill="1" applyAlignment="1">
      <alignment horizontal="center" vertical="center"/>
    </xf>
    <xf numFmtId="164" fontId="49" fillId="0" borderId="0" xfId="1" applyNumberFormat="1" applyFont="1" applyBorder="1" applyAlignment="1">
      <alignment horizontal="center" vertical="center"/>
    </xf>
    <xf numFmtId="164" fontId="49" fillId="0" borderId="0" xfId="0" applyNumberFormat="1" applyFont="1" applyAlignment="1">
      <alignment horizontal="center" vertical="center"/>
    </xf>
    <xf numFmtId="164" fontId="66" fillId="6" borderId="0" xfId="1" applyNumberFormat="1" applyFont="1" applyFill="1" applyBorder="1" applyAlignment="1">
      <alignment horizontal="center" vertical="center"/>
    </xf>
    <xf numFmtId="175" fontId="10" fillId="0" borderId="0" xfId="1" applyNumberFormat="1" applyFont="1" applyBorder="1" applyAlignment="1">
      <alignment horizontal="center" vertical="center"/>
    </xf>
    <xf numFmtId="175" fontId="10" fillId="0" borderId="0" xfId="1" applyNumberFormat="1" applyFont="1" applyAlignment="1">
      <alignment horizontal="center" vertical="center"/>
    </xf>
    <xf numFmtId="175" fontId="10" fillId="0" borderId="0" xfId="1" applyNumberFormat="1" applyFont="1" applyBorder="1" applyAlignment="1">
      <alignment horizontal="left" vertical="center"/>
    </xf>
    <xf numFmtId="175" fontId="10" fillId="0" borderId="0" xfId="0" applyNumberFormat="1" applyFont="1" applyAlignment="1">
      <alignment horizontal="center" vertical="center"/>
    </xf>
    <xf numFmtId="175" fontId="10" fillId="0" borderId="0" xfId="0" quotePrefix="1" applyNumberFormat="1" applyFont="1" applyAlignment="1">
      <alignment horizontal="center" vertical="center"/>
    </xf>
    <xf numFmtId="175" fontId="10" fillId="6" borderId="0" xfId="1" applyNumberFormat="1" applyFont="1" applyFill="1" applyBorder="1" applyAlignment="1">
      <alignment horizontal="center" vertical="center"/>
    </xf>
    <xf numFmtId="41" fontId="45" fillId="6" borderId="11" xfId="1" applyNumberFormat="1" applyFont="1" applyFill="1" applyBorder="1" applyAlignment="1">
      <alignment horizontal="center" vertical="center"/>
    </xf>
    <xf numFmtId="0" fontId="22" fillId="6" borderId="3" xfId="0" applyFont="1" applyFill="1" applyBorder="1" applyAlignment="1">
      <alignment horizontal="left" vertical="center" indent="1"/>
    </xf>
    <xf numFmtId="164" fontId="49" fillId="0" borderId="0" xfId="0" quotePrefix="1" applyNumberFormat="1" applyFont="1" applyAlignment="1">
      <alignment horizontal="center" vertical="center"/>
    </xf>
    <xf numFmtId="41" fontId="66" fillId="6" borderId="0" xfId="1" applyNumberFormat="1" applyFont="1" applyFill="1" applyBorder="1" applyAlignment="1">
      <alignment horizontal="center" vertical="center"/>
    </xf>
    <xf numFmtId="41" fontId="44" fillId="6" borderId="0" xfId="0" quotePrefix="1" applyNumberFormat="1" applyFont="1" applyFill="1" applyAlignment="1">
      <alignment horizontal="center" vertical="center"/>
    </xf>
    <xf numFmtId="0" fontId="49" fillId="0" borderId="0" xfId="0" applyFont="1"/>
    <xf numFmtId="175" fontId="12" fillId="0" borderId="0" xfId="0" applyNumberFormat="1" applyFont="1" applyAlignment="1">
      <alignment vertical="center"/>
    </xf>
    <xf numFmtId="175" fontId="1" fillId="0" borderId="0" xfId="0" applyNumberFormat="1" applyFont="1" applyAlignment="1">
      <alignment horizontal="left" vertical="center" wrapText="1" indent="1"/>
    </xf>
    <xf numFmtId="175" fontId="0" fillId="0" borderId="0" xfId="0" applyNumberFormat="1" applyAlignment="1">
      <alignment horizontal="left" vertical="center" wrapText="1" indent="1"/>
    </xf>
    <xf numFmtId="175" fontId="13" fillId="0" borderId="0" xfId="0" applyNumberFormat="1" applyFont="1" applyAlignment="1">
      <alignment vertical="center" shrinkToFit="1"/>
    </xf>
    <xf numFmtId="175" fontId="19" fillId="0" borderId="0" xfId="0" applyNumberFormat="1" applyFont="1" applyAlignment="1">
      <alignment horizontal="left"/>
    </xf>
    <xf numFmtId="175" fontId="24" fillId="0" borderId="0" xfId="0" quotePrefix="1" applyNumberFormat="1" applyFont="1" applyAlignment="1">
      <alignment vertical="center"/>
    </xf>
    <xf numFmtId="175" fontId="24" fillId="0" borderId="0" xfId="0" applyNumberFormat="1" applyFont="1" applyAlignment="1">
      <alignment horizontal="left" vertical="center" indent="1"/>
    </xf>
    <xf numFmtId="175" fontId="24" fillId="0" borderId="0" xfId="0" applyNumberFormat="1" applyFont="1" applyAlignment="1">
      <alignment horizontal="right" vertical="center"/>
    </xf>
    <xf numFmtId="0" fontId="13" fillId="0" borderId="0" xfId="0" applyFont="1" applyAlignment="1">
      <alignment vertical="top"/>
    </xf>
    <xf numFmtId="3" fontId="1" fillId="5" borderId="0" xfId="0" applyNumberFormat="1" applyFont="1" applyFill="1" applyAlignment="1">
      <alignment vertical="center"/>
    </xf>
    <xf numFmtId="3" fontId="1" fillId="5" borderId="0" xfId="0" applyNumberFormat="1" applyFont="1" applyFill="1" applyAlignment="1">
      <alignment horizontal="right" vertical="center"/>
    </xf>
    <xf numFmtId="3" fontId="18" fillId="5" borderId="0" xfId="0" applyNumberFormat="1" applyFont="1" applyFill="1" applyAlignment="1">
      <alignment vertical="center"/>
    </xf>
    <xf numFmtId="0" fontId="18" fillId="5" borderId="0" xfId="0" applyFont="1" applyFill="1" applyAlignment="1">
      <alignment vertical="center"/>
    </xf>
    <xf numFmtId="3" fontId="18" fillId="5" borderId="0" xfId="0" applyNumberFormat="1" applyFont="1" applyFill="1" applyAlignment="1">
      <alignment horizontal="right" vertical="center"/>
    </xf>
    <xf numFmtId="0" fontId="57" fillId="0" borderId="0" xfId="0" applyFont="1"/>
    <xf numFmtId="0" fontId="67" fillId="0" borderId="0" xfId="0" applyFont="1" applyAlignment="1">
      <alignment vertical="center"/>
    </xf>
    <xf numFmtId="0" fontId="68" fillId="0" borderId="0" xfId="0" applyFont="1" applyAlignment="1">
      <alignment horizontal="centerContinuous" vertical="center"/>
    </xf>
    <xf numFmtId="0" fontId="68" fillId="0" borderId="0" xfId="0" applyFont="1" applyAlignment="1">
      <alignment horizontal="center" vertical="center"/>
    </xf>
    <xf numFmtId="0" fontId="69" fillId="0" borderId="0" xfId="0" applyFont="1" applyAlignment="1">
      <alignment vertical="center"/>
    </xf>
    <xf numFmtId="0" fontId="70" fillId="0" borderId="0" xfId="0" applyFont="1" applyAlignment="1">
      <alignment horizontal="center" vertical="center"/>
    </xf>
    <xf numFmtId="0" fontId="69" fillId="0" borderId="0" xfId="0" applyFont="1" applyAlignment="1">
      <alignment horizontal="right" vertical="center"/>
    </xf>
    <xf numFmtId="0" fontId="69" fillId="0" borderId="0" xfId="0" applyFont="1" applyAlignment="1">
      <alignment horizontal="center" vertical="center"/>
    </xf>
    <xf numFmtId="168" fontId="69" fillId="0" borderId="0" xfId="0" quotePrefix="1" applyNumberFormat="1" applyFont="1" applyAlignment="1">
      <alignment vertical="center"/>
    </xf>
    <xf numFmtId="168" fontId="69" fillId="0" borderId="0" xfId="0" applyNumberFormat="1" applyFont="1" applyAlignment="1">
      <alignment vertical="center"/>
    </xf>
    <xf numFmtId="0" fontId="69" fillId="0" borderId="0" xfId="0" applyFont="1" applyAlignment="1">
      <alignment horizontal="left" vertical="center" wrapText="1" indent="1"/>
    </xf>
    <xf numFmtId="166" fontId="69" fillId="0" borderId="0" xfId="0" applyNumberFormat="1" applyFont="1" applyAlignment="1">
      <alignment horizontal="right" vertical="center"/>
    </xf>
    <xf numFmtId="0" fontId="69" fillId="0" borderId="0" xfId="0" applyFont="1" applyAlignment="1">
      <alignment horizontal="left" vertical="center" indent="1"/>
    </xf>
    <xf numFmtId="166" fontId="16" fillId="0" borderId="0" xfId="0" quotePrefix="1" applyNumberFormat="1" applyFont="1" applyAlignment="1">
      <alignment horizontal="right" vertical="center"/>
    </xf>
    <xf numFmtId="166" fontId="16" fillId="2" borderId="0" xfId="0" applyNumberFormat="1" applyFont="1" applyFill="1" applyAlignment="1">
      <alignment horizontal="center" vertical="center"/>
    </xf>
    <xf numFmtId="166" fontId="16" fillId="0" borderId="0" xfId="0" quotePrefix="1" applyNumberFormat="1" applyFont="1" applyAlignment="1">
      <alignment vertical="center" wrapText="1"/>
    </xf>
    <xf numFmtId="166" fontId="19" fillId="2" borderId="0" xfId="0" applyNumberFormat="1" applyFont="1" applyFill="1" applyAlignment="1">
      <alignment horizontal="center" vertical="center"/>
    </xf>
    <xf numFmtId="0" fontId="51" fillId="2" borderId="0" xfId="0" applyFont="1" applyFill="1" applyAlignment="1">
      <alignment vertical="center"/>
    </xf>
    <xf numFmtId="0" fontId="51" fillId="0" borderId="0" xfId="0" applyFont="1" applyAlignment="1">
      <alignment vertical="center" wrapText="1"/>
    </xf>
    <xf numFmtId="0" fontId="51" fillId="0" borderId="0" xfId="0" applyFont="1"/>
    <xf numFmtId="0" fontId="51" fillId="0" borderId="0" xfId="0" applyFont="1" applyAlignment="1">
      <alignment horizontal="center" vertical="center"/>
    </xf>
    <xf numFmtId="168" fontId="51" fillId="0" borderId="0" xfId="0" quotePrefix="1" applyNumberFormat="1" applyFont="1" applyAlignment="1">
      <alignment vertical="center"/>
    </xf>
    <xf numFmtId="0" fontId="52" fillId="0" borderId="0" xfId="0" applyFont="1" applyAlignment="1">
      <alignment horizontal="center" vertical="center"/>
    </xf>
    <xf numFmtId="0" fontId="71" fillId="0" borderId="0" xfId="0" applyFont="1" applyAlignment="1">
      <alignment vertical="center"/>
    </xf>
    <xf numFmtId="166" fontId="19" fillId="0" borderId="0" xfId="0" applyNumberFormat="1" applyFont="1" applyAlignment="1">
      <alignment horizontal="left" vertical="center" wrapText="1" indent="2"/>
    </xf>
    <xf numFmtId="0" fontId="11" fillId="0" borderId="0" xfId="0" applyFont="1" applyAlignment="1">
      <alignment horizontal="left" vertical="center" indent="1"/>
    </xf>
    <xf numFmtId="0" fontId="19" fillId="5" borderId="0" xfId="0" applyFont="1" applyFill="1" applyAlignment="1">
      <alignment horizontal="left" vertical="center" indent="1"/>
    </xf>
    <xf numFmtId="0" fontId="27" fillId="0" borderId="0" xfId="0" applyFont="1" applyAlignment="1">
      <alignment vertical="center" wrapText="1"/>
    </xf>
    <xf numFmtId="0" fontId="19" fillId="0" borderId="0" xfId="0" applyFont="1" applyAlignment="1">
      <alignment horizontal="left" vertical="center" indent="1"/>
    </xf>
    <xf numFmtId="0" fontId="16" fillId="0" borderId="0" xfId="0" applyFont="1" applyAlignment="1">
      <alignment horizontal="left" vertical="center" indent="1"/>
    </xf>
    <xf numFmtId="3" fontId="1" fillId="0" borderId="0" xfId="0" applyNumberFormat="1" applyFont="1" applyAlignment="1">
      <alignment horizontal="right" vertical="center" indent="1"/>
    </xf>
    <xf numFmtId="168" fontId="20" fillId="8" borderId="0" xfId="0" applyNumberFormat="1" applyFont="1" applyFill="1" applyAlignment="1">
      <alignment horizontal="center" vertical="center"/>
    </xf>
    <xf numFmtId="168" fontId="20" fillId="8" borderId="0" xfId="0" quotePrefix="1" applyNumberFormat="1" applyFont="1" applyFill="1" applyAlignment="1">
      <alignment horizontal="center" vertical="center"/>
    </xf>
    <xf numFmtId="167" fontId="20" fillId="8" borderId="3" xfId="0" applyNumberFormat="1" applyFont="1" applyFill="1" applyBorder="1" applyAlignment="1">
      <alignment vertical="center"/>
    </xf>
    <xf numFmtId="167" fontId="20" fillId="8" borderId="3" xfId="0" applyNumberFormat="1" applyFont="1" applyFill="1" applyBorder="1" applyAlignment="1">
      <alignment horizontal="center" vertical="center"/>
    </xf>
    <xf numFmtId="167" fontId="20" fillId="8" borderId="0" xfId="0" applyNumberFormat="1" applyFont="1" applyFill="1" applyAlignment="1">
      <alignment horizontal="center" vertical="center"/>
    </xf>
    <xf numFmtId="41" fontId="36" fillId="2" borderId="0" xfId="0" applyNumberFormat="1" applyFont="1" applyFill="1" applyAlignment="1">
      <alignment horizontal="right" vertical="center"/>
    </xf>
    <xf numFmtId="0" fontId="59" fillId="0" borderId="0" xfId="2" applyFont="1" applyAlignment="1">
      <alignment horizontal="left" vertical="center" wrapText="1" indent="1"/>
    </xf>
    <xf numFmtId="164" fontId="41" fillId="0" borderId="0" xfId="0" applyNumberFormat="1" applyFont="1" applyAlignment="1">
      <alignment vertical="center"/>
    </xf>
    <xf numFmtId="166" fontId="21" fillId="2" borderId="0" xfId="0" applyNumberFormat="1" applyFont="1" applyFill="1" applyAlignment="1">
      <alignment horizontal="center" vertical="center"/>
    </xf>
    <xf numFmtId="0" fontId="13" fillId="0" borderId="0" xfId="0" applyFont="1" applyAlignment="1">
      <alignment horizontal="left" vertical="center" shrinkToFit="1"/>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0" xfId="0" applyFont="1" applyAlignment="1">
      <alignment horizontal="left" vertical="center"/>
    </xf>
    <xf numFmtId="0" fontId="20" fillId="3"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20" fillId="3" borderId="0" xfId="0" applyFont="1" applyFill="1" applyAlignment="1">
      <alignment horizontal="center" vertical="center" wrapText="1"/>
    </xf>
    <xf numFmtId="0" fontId="26" fillId="0" borderId="0" xfId="0" applyFont="1" applyAlignment="1">
      <alignment horizontal="left" vertical="center" wrapText="1"/>
    </xf>
    <xf numFmtId="0" fontId="21" fillId="0" borderId="0" xfId="0" applyFont="1" applyAlignment="1">
      <alignment horizontal="center" vertical="center"/>
    </xf>
    <xf numFmtId="0" fontId="22" fillId="3" borderId="7"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22" fillId="3" borderId="3" xfId="0" applyFont="1" applyFill="1" applyBorder="1" applyAlignment="1">
      <alignment horizontal="center" vertical="center"/>
    </xf>
    <xf numFmtId="0" fontId="22" fillId="3" borderId="6" xfId="0" applyFont="1" applyFill="1" applyBorder="1" applyAlignment="1">
      <alignment horizontal="center" vertical="center" wrapText="1"/>
    </xf>
    <xf numFmtId="0" fontId="22" fillId="3" borderId="0" xfId="0" applyFont="1" applyFill="1" applyAlignment="1">
      <alignment horizontal="center" vertical="center" wrapText="1"/>
    </xf>
    <xf numFmtId="0" fontId="21" fillId="0" borderId="0" xfId="0" applyFont="1" applyAlignment="1">
      <alignment horizontal="center" vertical="center" wrapText="1"/>
    </xf>
    <xf numFmtId="17" fontId="21" fillId="0" borderId="0" xfId="0" quotePrefix="1" applyNumberFormat="1" applyFont="1" applyAlignment="1">
      <alignment horizontal="center" vertical="center"/>
    </xf>
    <xf numFmtId="0" fontId="22" fillId="3" borderId="10"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24" fillId="3" borderId="0" xfId="0" applyFont="1" applyFill="1" applyAlignment="1">
      <alignment horizontal="center" vertical="center"/>
    </xf>
    <xf numFmtId="0" fontId="24" fillId="3" borderId="3" xfId="0" applyFont="1" applyFill="1" applyBorder="1" applyAlignment="1">
      <alignment horizontal="center" vertical="center" wrapText="1"/>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0" fontId="24" fillId="3" borderId="8" xfId="0" applyFont="1" applyFill="1" applyBorder="1" applyAlignment="1">
      <alignment horizontal="center" vertical="center"/>
    </xf>
    <xf numFmtId="0" fontId="24" fillId="3" borderId="10" xfId="0" applyFont="1" applyFill="1" applyBorder="1" applyAlignment="1">
      <alignment horizontal="center" vertical="center"/>
    </xf>
    <xf numFmtId="0" fontId="24" fillId="3" borderId="4" xfId="0" applyFont="1" applyFill="1" applyBorder="1" applyAlignment="1">
      <alignment horizontal="center" vertical="center"/>
    </xf>
    <xf numFmtId="0" fontId="21" fillId="0" borderId="0" xfId="0" applyFont="1" applyAlignment="1">
      <alignment horizontal="left" vertical="center"/>
    </xf>
    <xf numFmtId="0" fontId="20" fillId="3" borderId="9" xfId="0" applyFont="1" applyFill="1" applyBorder="1" applyAlignment="1">
      <alignment horizontal="center" vertical="center"/>
    </xf>
    <xf numFmtId="0" fontId="20" fillId="3" borderId="10" xfId="0" applyFont="1" applyFill="1" applyBorder="1" applyAlignment="1">
      <alignment horizontal="center" vertical="center"/>
    </xf>
    <xf numFmtId="0" fontId="24" fillId="3" borderId="5" xfId="0" applyFont="1" applyFill="1" applyBorder="1" applyAlignment="1">
      <alignment horizontal="center" vertical="center" wrapText="1"/>
    </xf>
    <xf numFmtId="0" fontId="24" fillId="3" borderId="6" xfId="0" applyFont="1" applyFill="1" applyBorder="1" applyAlignment="1">
      <alignment horizontal="center" vertical="center" wrapText="1"/>
    </xf>
    <xf numFmtId="0" fontId="24" fillId="3" borderId="5" xfId="0" applyFont="1" applyFill="1" applyBorder="1" applyAlignment="1">
      <alignment horizontal="center" vertical="center"/>
    </xf>
    <xf numFmtId="0" fontId="20" fillId="3" borderId="0" xfId="0" applyFont="1" applyFill="1" applyAlignment="1">
      <alignment horizontal="center" vertical="center"/>
    </xf>
    <xf numFmtId="0" fontId="19" fillId="0" borderId="0" xfId="0" applyFont="1" applyAlignment="1">
      <alignment horizontal="center"/>
    </xf>
    <xf numFmtId="0" fontId="24" fillId="3" borderId="3" xfId="0" applyFont="1" applyFill="1" applyBorder="1" applyAlignment="1">
      <alignment horizontal="center" vertical="center"/>
    </xf>
    <xf numFmtId="0" fontId="25" fillId="3" borderId="3" xfId="0" applyFont="1" applyFill="1" applyBorder="1" applyAlignment="1">
      <alignment horizontal="center" vertical="center"/>
    </xf>
    <xf numFmtId="0" fontId="9" fillId="0" borderId="0" xfId="0" applyFont="1" applyAlignment="1">
      <alignment horizontal="center" vertical="center"/>
    </xf>
    <xf numFmtId="0" fontId="58" fillId="0" borderId="0" xfId="0" applyFont="1" applyAlignment="1">
      <alignment horizontal="center" vertical="center" wrapText="1"/>
    </xf>
    <xf numFmtId="0" fontId="11" fillId="0" borderId="0" xfId="0" applyFont="1" applyAlignment="1">
      <alignment horizontal="left" vertical="center"/>
    </xf>
    <xf numFmtId="0" fontId="24" fillId="3" borderId="1" xfId="0" applyFont="1" applyFill="1" applyBorder="1" applyAlignment="1">
      <alignment horizontal="center" vertical="center" wrapText="1"/>
    </xf>
    <xf numFmtId="0" fontId="24" fillId="3" borderId="1" xfId="0" applyFont="1" applyFill="1" applyBorder="1" applyAlignment="1">
      <alignment horizontal="center" vertical="center"/>
    </xf>
    <xf numFmtId="0" fontId="24" fillId="3" borderId="11" xfId="0" applyFont="1" applyFill="1" applyBorder="1" applyAlignment="1">
      <alignment horizontal="center" vertical="center"/>
    </xf>
    <xf numFmtId="0" fontId="31" fillId="3" borderId="10" xfId="0" applyFont="1" applyFill="1" applyBorder="1" applyAlignment="1">
      <alignment horizontal="center" vertical="center"/>
    </xf>
    <xf numFmtId="0" fontId="31" fillId="3" borderId="4" xfId="0" applyFont="1" applyFill="1" applyBorder="1" applyAlignment="1">
      <alignment horizontal="center" vertical="center"/>
    </xf>
    <xf numFmtId="0" fontId="20" fillId="3" borderId="4" xfId="0" applyFont="1" applyFill="1" applyBorder="1" applyAlignment="1">
      <alignment horizontal="center" vertical="center"/>
    </xf>
    <xf numFmtId="169" fontId="1" fillId="0" borderId="0" xfId="0" quotePrefix="1" applyNumberFormat="1" applyFont="1" applyAlignment="1">
      <alignment horizontal="center" vertical="center"/>
    </xf>
    <xf numFmtId="0" fontId="24" fillId="3" borderId="7" xfId="0" applyFont="1" applyFill="1" applyBorder="1" applyAlignment="1">
      <alignment horizontal="center" vertical="center" wrapText="1"/>
    </xf>
    <xf numFmtId="0" fontId="24" fillId="3" borderId="8" xfId="0" applyFont="1" applyFill="1" applyBorder="1" applyAlignment="1">
      <alignment horizontal="center" vertical="center" wrapText="1"/>
    </xf>
    <xf numFmtId="168" fontId="1" fillId="0" borderId="0" xfId="0" quotePrefix="1" applyNumberFormat="1" applyFont="1" applyAlignment="1">
      <alignment horizontal="center" vertical="center"/>
    </xf>
    <xf numFmtId="169" fontId="1" fillId="0" borderId="0" xfId="0" applyNumberFormat="1" applyFont="1" applyAlignment="1">
      <alignment horizontal="center" vertical="center"/>
    </xf>
    <xf numFmtId="169" fontId="24" fillId="6" borderId="0" xfId="0" applyNumberFormat="1" applyFont="1" applyFill="1" applyAlignment="1">
      <alignment horizontal="center" vertical="center"/>
    </xf>
    <xf numFmtId="168" fontId="24" fillId="6" borderId="0" xfId="0" quotePrefix="1" applyNumberFormat="1" applyFont="1" applyFill="1" applyAlignment="1">
      <alignment horizontal="center" vertical="center"/>
    </xf>
    <xf numFmtId="169" fontId="24" fillId="6" borderId="0" xfId="0" quotePrefix="1" applyNumberFormat="1" applyFont="1" applyFill="1" applyAlignment="1">
      <alignment horizontal="center" vertical="center"/>
    </xf>
    <xf numFmtId="169" fontId="24" fillId="6" borderId="3" xfId="0" quotePrefix="1" applyNumberFormat="1" applyFont="1" applyFill="1" applyBorder="1" applyAlignment="1">
      <alignment horizontal="center" vertical="center"/>
    </xf>
    <xf numFmtId="169" fontId="24" fillId="6" borderId="3" xfId="0" applyNumberFormat="1" applyFont="1" applyFill="1" applyBorder="1" applyAlignment="1">
      <alignment horizontal="center" vertical="center"/>
    </xf>
    <xf numFmtId="168" fontId="1" fillId="0" borderId="0" xfId="0" applyNumberFormat="1" applyFont="1" applyAlignment="1">
      <alignment horizontal="center" vertical="center"/>
    </xf>
    <xf numFmtId="49" fontId="8" fillId="0" borderId="0" xfId="0" applyNumberFormat="1" applyFont="1" applyAlignment="1">
      <alignment horizontal="justify" vertical="center" wrapText="1"/>
    </xf>
    <xf numFmtId="37" fontId="21" fillId="0" borderId="0" xfId="0" quotePrefix="1" applyNumberFormat="1" applyFont="1" applyAlignment="1">
      <alignment horizontal="center" vertical="center" wrapText="1"/>
    </xf>
    <xf numFmtId="37" fontId="19" fillId="0" borderId="0" xfId="0" quotePrefix="1" applyNumberFormat="1" applyFont="1" applyAlignment="1">
      <alignment horizontal="center" vertical="center" wrapText="1"/>
    </xf>
    <xf numFmtId="0" fontId="24" fillId="3" borderId="11"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4" fillId="3" borderId="0" xfId="0" applyFont="1" applyFill="1" applyAlignment="1">
      <alignment horizontal="center" vertical="center" wrapText="1"/>
    </xf>
    <xf numFmtId="0" fontId="25" fillId="3" borderId="0" xfId="0" applyFont="1" applyFill="1" applyAlignment="1">
      <alignment horizontal="center" vertical="center" wrapText="1"/>
    </xf>
    <xf numFmtId="0" fontId="13" fillId="2" borderId="0" xfId="0" applyFont="1" applyFill="1" applyAlignment="1">
      <alignment horizontal="left" vertical="justify" wrapText="1"/>
    </xf>
    <xf numFmtId="0" fontId="20" fillId="3" borderId="2" xfId="0" applyFont="1" applyFill="1" applyBorder="1" applyAlignment="1">
      <alignment horizontal="center" vertical="center" wrapText="1"/>
    </xf>
    <xf numFmtId="0" fontId="20" fillId="3" borderId="6"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0" fontId="20" fillId="3" borderId="6"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0" fillId="3" borderId="8" xfId="0" applyFont="1" applyFill="1" applyBorder="1" applyAlignment="1">
      <alignment horizontal="center" vertical="center" wrapText="1"/>
    </xf>
    <xf numFmtId="0" fontId="37" fillId="3" borderId="9" xfId="0" applyFont="1" applyFill="1" applyBorder="1" applyAlignment="1">
      <alignment horizontal="center" vertical="center"/>
    </xf>
    <xf numFmtId="0" fontId="37" fillId="3" borderId="10" xfId="0" applyFont="1" applyFill="1" applyBorder="1" applyAlignment="1">
      <alignment horizontal="center" vertical="center"/>
    </xf>
    <xf numFmtId="3" fontId="28" fillId="3" borderId="6" xfId="0" applyNumberFormat="1" applyFont="1" applyFill="1" applyBorder="1" applyAlignment="1">
      <alignment horizontal="center" vertical="center"/>
    </xf>
    <xf numFmtId="3" fontId="28" fillId="3" borderId="7" xfId="0" applyNumberFormat="1" applyFont="1" applyFill="1" applyBorder="1" applyAlignment="1">
      <alignment horizontal="center" vertical="center"/>
    </xf>
    <xf numFmtId="3" fontId="28" fillId="3" borderId="12" xfId="0" applyNumberFormat="1" applyFont="1" applyFill="1" applyBorder="1" applyAlignment="1">
      <alignment horizontal="center" vertical="center"/>
    </xf>
    <xf numFmtId="3" fontId="28" fillId="2" borderId="0" xfId="0" applyNumberFormat="1" applyFont="1" applyFill="1" applyAlignment="1">
      <alignment horizontal="center" vertical="center"/>
    </xf>
    <xf numFmtId="1" fontId="28" fillId="3" borderId="2" xfId="0" applyNumberFormat="1" applyFont="1" applyFill="1" applyBorder="1" applyAlignment="1">
      <alignment horizontal="center" vertical="center"/>
    </xf>
    <xf numFmtId="1" fontId="28" fillId="3" borderId="9" xfId="0" applyNumberFormat="1" applyFont="1" applyFill="1" applyBorder="1" applyAlignment="1">
      <alignment horizontal="center" vertical="center"/>
    </xf>
    <xf numFmtId="1" fontId="28" fillId="3" borderId="4" xfId="0" applyNumberFormat="1" applyFont="1" applyFill="1" applyBorder="1" applyAlignment="1">
      <alignment horizontal="center" vertical="center"/>
    </xf>
    <xf numFmtId="1" fontId="28" fillId="2" borderId="0" xfId="0" applyNumberFormat="1" applyFont="1" applyFill="1" applyAlignment="1">
      <alignment horizontal="center" vertical="center"/>
    </xf>
    <xf numFmtId="3" fontId="1" fillId="2" borderId="0" xfId="0" applyNumberFormat="1" applyFont="1" applyFill="1" applyAlignment="1">
      <alignment horizontal="center" vertical="center"/>
    </xf>
    <xf numFmtId="3" fontId="28" fillId="3" borderId="0" xfId="0" applyNumberFormat="1" applyFont="1" applyFill="1" applyAlignment="1">
      <alignment horizontal="center" vertical="center"/>
    </xf>
    <xf numFmtId="3" fontId="1" fillId="0" borderId="0" xfId="0" applyNumberFormat="1" applyFont="1" applyAlignment="1">
      <alignment horizontal="center" vertical="center"/>
    </xf>
    <xf numFmtId="0" fontId="17" fillId="0" borderId="0" xfId="0" applyFont="1" applyAlignment="1">
      <alignment horizontal="center" vertical="center"/>
    </xf>
    <xf numFmtId="3" fontId="17" fillId="0" borderId="0" xfId="0" applyNumberFormat="1" applyFont="1" applyAlignment="1">
      <alignment horizontal="center" vertical="center" wrapText="1"/>
    </xf>
    <xf numFmtId="3" fontId="17" fillId="0" borderId="0" xfId="0" applyNumberFormat="1" applyFont="1" applyAlignment="1">
      <alignment horizontal="center" vertical="center"/>
    </xf>
    <xf numFmtId="1" fontId="28" fillId="3" borderId="12" xfId="0" applyNumberFormat="1" applyFont="1" applyFill="1" applyBorder="1" applyAlignment="1">
      <alignment horizontal="center" vertical="center"/>
    </xf>
    <xf numFmtId="1" fontId="28" fillId="3" borderId="14" xfId="0" applyNumberFormat="1" applyFont="1" applyFill="1" applyBorder="1" applyAlignment="1">
      <alignment horizontal="center" vertical="center"/>
    </xf>
    <xf numFmtId="3" fontId="28" fillId="3" borderId="5" xfId="0" applyNumberFormat="1" applyFont="1" applyFill="1" applyBorder="1" applyAlignment="1">
      <alignment horizontal="center" vertical="center"/>
    </xf>
    <xf numFmtId="3" fontId="7" fillId="2" borderId="0" xfId="0" applyNumberFormat="1" applyFont="1" applyFill="1" applyAlignment="1">
      <alignment horizontal="center"/>
    </xf>
    <xf numFmtId="1" fontId="28" fillId="3" borderId="15" xfId="0" applyNumberFormat="1" applyFont="1" applyFill="1" applyBorder="1" applyAlignment="1">
      <alignment horizontal="center" vertical="center"/>
    </xf>
    <xf numFmtId="3" fontId="28" fillId="3" borderId="2" xfId="0" applyNumberFormat="1" applyFont="1" applyFill="1" applyBorder="1" applyAlignment="1">
      <alignment horizontal="center" vertical="center"/>
    </xf>
    <xf numFmtId="0" fontId="20" fillId="3" borderId="5" xfId="0" applyFont="1" applyFill="1" applyBorder="1" applyAlignment="1">
      <alignment horizontal="center" vertical="center"/>
    </xf>
    <xf numFmtId="171" fontId="24" fillId="3" borderId="0" xfId="0" applyNumberFormat="1" applyFont="1" applyFill="1" applyAlignment="1">
      <alignment horizontal="center" vertical="center"/>
    </xf>
    <xf numFmtId="171" fontId="31" fillId="3" borderId="4" xfId="0" applyNumberFormat="1" applyFont="1" applyFill="1" applyBorder="1" applyAlignment="1">
      <alignment horizontal="center" vertical="center"/>
    </xf>
    <xf numFmtId="171" fontId="31" fillId="3" borderId="2" xfId="0" applyNumberFormat="1" applyFont="1" applyFill="1" applyBorder="1" applyAlignment="1">
      <alignment horizontal="center" vertical="center"/>
    </xf>
    <xf numFmtId="0" fontId="31" fillId="3" borderId="9" xfId="0" applyFont="1" applyFill="1" applyBorder="1" applyAlignment="1">
      <alignment horizontal="center" vertical="center"/>
    </xf>
    <xf numFmtId="0" fontId="31" fillId="3" borderId="2"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16" xfId="0" applyFont="1" applyFill="1" applyBorder="1" applyAlignment="1">
      <alignment horizontal="center" vertical="center"/>
    </xf>
    <xf numFmtId="0" fontId="22" fillId="3" borderId="17" xfId="0" applyFont="1" applyFill="1" applyBorder="1" applyAlignment="1">
      <alignment horizontal="center" vertical="center"/>
    </xf>
    <xf numFmtId="0" fontId="22" fillId="3" borderId="0" xfId="0" applyFont="1" applyFill="1" applyAlignment="1">
      <alignment horizontal="center" vertical="center"/>
    </xf>
    <xf numFmtId="0" fontId="31" fillId="3" borderId="14" xfId="0" applyFont="1" applyFill="1" applyBorder="1" applyAlignment="1">
      <alignment horizontal="center" vertical="center"/>
    </xf>
    <xf numFmtId="0" fontId="31" fillId="3" borderId="15" xfId="0" applyFont="1" applyFill="1" applyBorder="1" applyAlignment="1">
      <alignment horizontal="center" vertical="center"/>
    </xf>
    <xf numFmtId="0" fontId="31" fillId="3" borderId="12" xfId="0" applyFont="1" applyFill="1" applyBorder="1" applyAlignment="1">
      <alignment horizontal="center" vertical="center"/>
    </xf>
    <xf numFmtId="0" fontId="22" fillId="3" borderId="12" xfId="0" applyFont="1" applyFill="1" applyBorder="1" applyAlignment="1">
      <alignment horizontal="center" vertical="center"/>
    </xf>
    <xf numFmtId="0" fontId="22" fillId="3" borderId="14" xfId="0" applyFont="1" applyFill="1" applyBorder="1" applyAlignment="1">
      <alignment horizontal="center" vertical="center"/>
    </xf>
    <xf numFmtId="171" fontId="31" fillId="3" borderId="0" xfId="0" applyNumberFormat="1" applyFont="1" applyFill="1" applyAlignment="1">
      <alignment horizontal="center" vertical="center"/>
    </xf>
    <xf numFmtId="41" fontId="20" fillId="2" borderId="0" xfId="0" applyNumberFormat="1" applyFont="1" applyFill="1" applyAlignment="1">
      <alignment horizontal="center" vertical="center"/>
    </xf>
    <xf numFmtId="41" fontId="20" fillId="6" borderId="7" xfId="0" applyNumberFormat="1" applyFont="1" applyFill="1" applyBorder="1" applyAlignment="1">
      <alignment horizontal="center" vertical="center"/>
    </xf>
    <xf numFmtId="41" fontId="20" fillId="6" borderId="8" xfId="0" applyNumberFormat="1" applyFont="1" applyFill="1" applyBorder="1" applyAlignment="1">
      <alignment horizontal="center" vertical="center"/>
    </xf>
    <xf numFmtId="0" fontId="24" fillId="3" borderId="14" xfId="0" applyFont="1" applyFill="1" applyBorder="1" applyAlignment="1">
      <alignment horizontal="center" vertical="center" wrapText="1"/>
    </xf>
    <xf numFmtId="0" fontId="24" fillId="3" borderId="13" xfId="0" applyFont="1" applyFill="1" applyBorder="1" applyAlignment="1">
      <alignment horizontal="center" vertical="center" wrapText="1"/>
    </xf>
    <xf numFmtId="0" fontId="24" fillId="3" borderId="15" xfId="0" applyFont="1" applyFill="1" applyBorder="1" applyAlignment="1">
      <alignment horizontal="center" vertical="center" wrapText="1"/>
    </xf>
    <xf numFmtId="0" fontId="20" fillId="2" borderId="0" xfId="0" applyFont="1" applyFill="1" applyAlignment="1">
      <alignment horizontal="center" vertical="center"/>
    </xf>
    <xf numFmtId="0" fontId="20" fillId="3" borderId="34" xfId="0" applyFont="1" applyFill="1" applyBorder="1" applyAlignment="1">
      <alignment horizontal="center" vertical="center"/>
    </xf>
    <xf numFmtId="0" fontId="20" fillId="3" borderId="35" xfId="0" applyFont="1" applyFill="1" applyBorder="1" applyAlignment="1">
      <alignment horizontal="center" vertical="center"/>
    </xf>
    <xf numFmtId="164" fontId="24" fillId="3" borderId="6" xfId="0" applyNumberFormat="1" applyFont="1" applyFill="1" applyBorder="1" applyAlignment="1">
      <alignment horizontal="center" vertical="center"/>
    </xf>
    <xf numFmtId="164" fontId="24" fillId="3" borderId="7" xfId="0" applyNumberFormat="1" applyFont="1" applyFill="1" applyBorder="1" applyAlignment="1">
      <alignment horizontal="center" vertical="center"/>
    </xf>
    <xf numFmtId="164" fontId="24" fillId="3" borderId="8" xfId="0" applyNumberFormat="1" applyFont="1" applyFill="1" applyBorder="1" applyAlignment="1">
      <alignment horizontal="center" vertical="center"/>
    </xf>
    <xf numFmtId="0" fontId="24" fillId="2" borderId="0" xfId="0" applyFont="1" applyFill="1" applyAlignment="1">
      <alignment horizontal="center" vertical="center" wrapText="1"/>
    </xf>
    <xf numFmtId="0" fontId="20" fillId="3" borderId="36" xfId="0" applyFont="1" applyFill="1" applyBorder="1" applyAlignment="1">
      <alignment horizontal="center" vertical="center"/>
    </xf>
    <xf numFmtId="41" fontId="20" fillId="6" borderId="0" xfId="0" applyNumberFormat="1" applyFont="1" applyFill="1" applyAlignment="1">
      <alignment horizontal="center" vertical="center"/>
    </xf>
    <xf numFmtId="0" fontId="17" fillId="0" borderId="0" xfId="0" applyFont="1" applyAlignment="1">
      <alignment horizontal="left" vertical="center"/>
    </xf>
    <xf numFmtId="0" fontId="16" fillId="0" borderId="0" xfId="0" applyFont="1" applyAlignment="1">
      <alignment horizontal="left" vertical="center"/>
    </xf>
    <xf numFmtId="0" fontId="1" fillId="2" borderId="0" xfId="0" applyFont="1" applyFill="1" applyAlignment="1">
      <alignment horizontal="left" vertical="justify" wrapText="1"/>
    </xf>
    <xf numFmtId="41" fontId="20" fillId="6" borderId="3" xfId="0" applyNumberFormat="1" applyFont="1" applyFill="1" applyBorder="1" applyAlignment="1">
      <alignment horizontal="center" vertical="center"/>
    </xf>
    <xf numFmtId="0" fontId="24" fillId="3" borderId="2" xfId="0" applyFont="1" applyFill="1" applyBorder="1" applyAlignment="1">
      <alignment horizontal="center" vertical="center" wrapText="1"/>
    </xf>
    <xf numFmtId="0" fontId="40" fillId="0" borderId="0" xfId="0" applyFont="1" applyAlignment="1">
      <alignment horizontal="center" vertical="center"/>
    </xf>
    <xf numFmtId="0" fontId="40" fillId="0" borderId="0" xfId="0" applyFont="1" applyAlignment="1">
      <alignment horizontal="left" vertical="center"/>
    </xf>
    <xf numFmtId="0" fontId="24" fillId="3" borderId="9" xfId="0"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1" fillId="5" borderId="0" xfId="0" applyFont="1" applyFill="1" applyAlignment="1">
      <alignment horizontal="center" vertical="center"/>
    </xf>
    <xf numFmtId="0" fontId="21" fillId="5" borderId="0" xfId="0" applyFont="1" applyFill="1" applyAlignment="1">
      <alignment horizontal="left" vertical="center"/>
    </xf>
    <xf numFmtId="0" fontId="4" fillId="0" borderId="0" xfId="0" applyFont="1" applyAlignment="1">
      <alignment horizontal="left" wrapText="1"/>
    </xf>
    <xf numFmtId="0" fontId="21" fillId="0" borderId="0" xfId="0" applyFont="1" applyAlignment="1">
      <alignment horizontal="left"/>
    </xf>
    <xf numFmtId="0" fontId="45" fillId="6" borderId="0" xfId="0" applyFont="1" applyFill="1" applyAlignment="1">
      <alignment horizontal="center" vertical="center"/>
    </xf>
    <xf numFmtId="0" fontId="45" fillId="6" borderId="3" xfId="0" applyFont="1" applyFill="1" applyBorder="1" applyAlignment="1">
      <alignment horizontal="center" vertical="center"/>
    </xf>
    <xf numFmtId="170" fontId="45" fillId="6" borderId="0" xfId="1" applyNumberFormat="1" applyFont="1" applyFill="1" applyBorder="1" applyAlignment="1">
      <alignment horizontal="left" vertical="center" indent="1"/>
    </xf>
    <xf numFmtId="170" fontId="45" fillId="6" borderId="3" xfId="1" applyNumberFormat="1" applyFont="1" applyFill="1" applyBorder="1" applyAlignment="1">
      <alignment horizontal="left" vertical="center" indent="1"/>
    </xf>
    <xf numFmtId="0" fontId="45" fillId="3" borderId="10" xfId="0" applyFont="1" applyFill="1" applyBorder="1" applyAlignment="1">
      <alignment horizontal="center" vertical="center" wrapText="1"/>
    </xf>
    <xf numFmtId="0" fontId="45" fillId="3" borderId="4" xfId="0" applyFont="1" applyFill="1" applyBorder="1" applyAlignment="1">
      <alignment horizontal="center" vertical="center" wrapText="1"/>
    </xf>
    <xf numFmtId="0" fontId="45" fillId="3" borderId="0" xfId="0" applyFont="1" applyFill="1" applyAlignment="1">
      <alignment horizontal="center" vertical="center" wrapText="1"/>
    </xf>
    <xf numFmtId="0" fontId="45" fillId="3" borderId="2" xfId="0" applyFont="1" applyFill="1" applyBorder="1" applyAlignment="1">
      <alignment horizontal="center" vertical="center" wrapText="1"/>
    </xf>
    <xf numFmtId="0" fontId="44" fillId="3" borderId="0" xfId="0" applyFont="1" applyFill="1" applyAlignment="1">
      <alignment horizontal="center" vertical="center" wrapText="1"/>
    </xf>
    <xf numFmtId="0" fontId="44" fillId="3" borderId="6" xfId="0" applyFont="1" applyFill="1" applyBorder="1" applyAlignment="1">
      <alignment horizontal="center" vertical="center" wrapText="1"/>
    </xf>
    <xf numFmtId="0" fontId="44" fillId="3" borderId="7" xfId="0" applyFont="1" applyFill="1" applyBorder="1" applyAlignment="1">
      <alignment horizontal="center" vertical="center" wrapText="1"/>
    </xf>
    <xf numFmtId="0" fontId="44" fillId="3" borderId="8" xfId="0" applyFont="1" applyFill="1" applyBorder="1" applyAlignment="1">
      <alignment horizontal="center" vertical="center" wrapText="1"/>
    </xf>
    <xf numFmtId="164" fontId="44" fillId="3" borderId="6" xfId="0" applyNumberFormat="1" applyFont="1" applyFill="1" applyBorder="1" applyAlignment="1">
      <alignment horizontal="center" vertical="center" wrapText="1"/>
    </xf>
    <xf numFmtId="164" fontId="44" fillId="3" borderId="7" xfId="0" applyNumberFormat="1" applyFont="1" applyFill="1" applyBorder="1" applyAlignment="1">
      <alignment horizontal="center" vertical="center" wrapText="1"/>
    </xf>
    <xf numFmtId="0" fontId="45" fillId="3" borderId="9" xfId="0" applyFont="1" applyFill="1" applyBorder="1" applyAlignment="1">
      <alignment horizontal="center" vertical="center" wrapText="1"/>
    </xf>
    <xf numFmtId="0" fontId="64" fillId="0" borderId="0" xfId="0" applyFont="1" applyAlignment="1">
      <alignment horizontal="center" vertical="center" wrapText="1"/>
    </xf>
    <xf numFmtId="0" fontId="64" fillId="0" borderId="0" xfId="0" applyFont="1" applyAlignment="1">
      <alignment horizontal="center" vertical="center"/>
    </xf>
    <xf numFmtId="170" fontId="37" fillId="3" borderId="19" xfId="0" applyNumberFormat="1" applyFont="1" applyFill="1" applyBorder="1" applyAlignment="1">
      <alignment horizontal="center" vertical="center" wrapText="1"/>
    </xf>
    <xf numFmtId="0" fontId="20" fillId="3" borderId="20" xfId="0" applyFont="1" applyFill="1" applyBorder="1" applyAlignment="1">
      <alignment horizontal="center" vertical="center"/>
    </xf>
    <xf numFmtId="0" fontId="20" fillId="3" borderId="19" xfId="0" applyFont="1" applyFill="1" applyBorder="1" applyAlignment="1">
      <alignment horizontal="center" vertical="center"/>
    </xf>
    <xf numFmtId="0" fontId="37" fillId="3" borderId="19" xfId="0" applyFont="1" applyFill="1" applyBorder="1" applyAlignment="1">
      <alignment horizontal="center" vertical="center" wrapText="1"/>
    </xf>
    <xf numFmtId="3" fontId="24" fillId="3" borderId="5" xfId="0" applyNumberFormat="1" applyFont="1" applyFill="1" applyBorder="1" applyAlignment="1">
      <alignment horizontal="center" vertical="center" wrapText="1"/>
    </xf>
    <xf numFmtId="3" fontId="24" fillId="3" borderId="2" xfId="0" applyNumberFormat="1" applyFont="1" applyFill="1" applyBorder="1" applyAlignment="1">
      <alignment horizontal="center" vertical="center" wrapText="1"/>
    </xf>
    <xf numFmtId="3" fontId="24" fillId="3" borderId="0" xfId="0" applyNumberFormat="1" applyFont="1" applyFill="1" applyAlignment="1">
      <alignment horizontal="center" vertical="center" wrapText="1"/>
    </xf>
    <xf numFmtId="3" fontId="24" fillId="3" borderId="5" xfId="0" applyNumberFormat="1" applyFont="1" applyFill="1" applyBorder="1" applyAlignment="1">
      <alignment horizontal="center" vertical="center"/>
    </xf>
    <xf numFmtId="3" fontId="24" fillId="3" borderId="2" xfId="0" applyNumberFormat="1" applyFont="1" applyFill="1" applyBorder="1" applyAlignment="1">
      <alignment horizontal="center" vertical="center"/>
    </xf>
    <xf numFmtId="0" fontId="18" fillId="0" borderId="0" xfId="0" applyFont="1" applyAlignment="1">
      <alignment horizontal="left" vertical="center" wrapText="1"/>
    </xf>
    <xf numFmtId="0" fontId="20" fillId="3" borderId="2" xfId="0" applyFont="1" applyFill="1" applyBorder="1" applyAlignment="1">
      <alignment horizontal="center" vertical="center"/>
    </xf>
    <xf numFmtId="0" fontId="20" fillId="3" borderId="9" xfId="0" applyFont="1" applyFill="1" applyBorder="1" applyAlignment="1">
      <alignment horizontal="center" vertical="center" wrapText="1"/>
    </xf>
    <xf numFmtId="0" fontId="13" fillId="0" borderId="0" xfId="0" applyFont="1" applyAlignment="1">
      <alignment horizontal="left" vertical="top" wrapText="1"/>
    </xf>
    <xf numFmtId="0" fontId="13" fillId="0" borderId="0" xfId="0" applyFont="1" applyAlignment="1">
      <alignment horizontal="left" vertical="center" wrapText="1"/>
    </xf>
    <xf numFmtId="0" fontId="24" fillId="3" borderId="2" xfId="0" applyFont="1" applyFill="1" applyBorder="1" applyAlignment="1">
      <alignment horizontal="center" vertical="center"/>
    </xf>
    <xf numFmtId="0" fontId="20" fillId="3" borderId="2" xfId="0" applyFont="1" applyFill="1" applyBorder="1" applyAlignment="1">
      <alignment horizontal="center"/>
    </xf>
    <xf numFmtId="0" fontId="22" fillId="3" borderId="2" xfId="0" applyFont="1" applyFill="1" applyBorder="1" applyAlignment="1">
      <alignment horizontal="center" vertical="center"/>
    </xf>
    <xf numFmtId="0" fontId="22" fillId="3" borderId="5" xfId="0" applyFont="1" applyFill="1" applyBorder="1" applyAlignment="1">
      <alignment horizontal="center" vertical="center"/>
    </xf>
    <xf numFmtId="0" fontId="3" fillId="0" borderId="0" xfId="0" applyFont="1" applyAlignment="1">
      <alignment horizontal="center" vertical="center" wrapText="1"/>
    </xf>
    <xf numFmtId="0" fontId="20" fillId="3" borderId="21" xfId="0" applyFont="1" applyFill="1" applyBorder="1" applyAlignment="1">
      <alignment horizontal="center" vertical="center"/>
    </xf>
    <xf numFmtId="0" fontId="20" fillId="3" borderId="19" xfId="0" applyFont="1" applyFill="1" applyBorder="1" applyAlignment="1">
      <alignment horizontal="center"/>
    </xf>
    <xf numFmtId="0" fontId="20" fillId="3" borderId="23" xfId="0" applyFont="1" applyFill="1" applyBorder="1" applyAlignment="1">
      <alignment horizontal="center" vertical="center"/>
    </xf>
    <xf numFmtId="0" fontId="20" fillId="3" borderId="22" xfId="0" applyFont="1" applyFill="1" applyBorder="1" applyAlignment="1">
      <alignment horizontal="center" vertical="center" wrapText="1"/>
    </xf>
    <xf numFmtId="0" fontId="44" fillId="3" borderId="11" xfId="0" applyFont="1" applyFill="1" applyBorder="1" applyAlignment="1">
      <alignment horizontal="center" vertical="center" wrapText="1"/>
    </xf>
    <xf numFmtId="0" fontId="45" fillId="3" borderId="19" xfId="0" applyFont="1" applyFill="1" applyBorder="1" applyAlignment="1">
      <alignment horizontal="center" vertical="center" wrapText="1"/>
    </xf>
    <xf numFmtId="0" fontId="45" fillId="3" borderId="20" xfId="0" applyFont="1" applyFill="1" applyBorder="1" applyAlignment="1">
      <alignment horizontal="center" vertical="center" wrapText="1"/>
    </xf>
    <xf numFmtId="0" fontId="43" fillId="3" borderId="0" xfId="0" applyFont="1" applyFill="1" applyAlignment="1">
      <alignment horizontal="center" vertical="center"/>
    </xf>
    <xf numFmtId="0" fontId="48" fillId="0" borderId="0" xfId="0" applyFont="1" applyAlignment="1">
      <alignment horizontal="center"/>
    </xf>
    <xf numFmtId="0" fontId="48" fillId="0" borderId="0" xfId="0" applyFont="1" applyAlignment="1">
      <alignment horizontal="center" vertical="center"/>
    </xf>
    <xf numFmtId="0" fontId="43" fillId="3" borderId="25" xfId="0" applyFont="1" applyFill="1" applyBorder="1" applyAlignment="1">
      <alignment horizontal="center" vertical="center" wrapText="1"/>
    </xf>
    <xf numFmtId="0" fontId="43" fillId="3" borderId="26" xfId="0" applyFont="1" applyFill="1" applyBorder="1" applyAlignment="1">
      <alignment horizontal="center" vertical="center" wrapText="1"/>
    </xf>
    <xf numFmtId="0" fontId="43" fillId="3" borderId="27" xfId="0" applyFont="1" applyFill="1" applyBorder="1" applyAlignment="1">
      <alignment horizontal="center" vertical="center" wrapText="1"/>
    </xf>
    <xf numFmtId="0" fontId="45" fillId="3" borderId="31" xfId="0" applyFont="1" applyFill="1" applyBorder="1" applyAlignment="1">
      <alignment horizontal="center" vertical="center" wrapText="1"/>
    </xf>
    <xf numFmtId="0" fontId="45" fillId="3" borderId="30" xfId="0" applyFont="1" applyFill="1" applyBorder="1" applyAlignment="1">
      <alignment horizontal="center" vertical="center" wrapText="1"/>
    </xf>
    <xf numFmtId="0" fontId="48" fillId="0" borderId="0" xfId="0" applyFont="1" applyAlignment="1">
      <alignment horizontal="left" vertical="center"/>
    </xf>
    <xf numFmtId="0" fontId="45" fillId="3" borderId="29" xfId="0" applyFont="1" applyFill="1" applyBorder="1" applyAlignment="1">
      <alignment horizontal="center" vertical="center" wrapText="1"/>
    </xf>
    <xf numFmtId="0" fontId="45" fillId="3" borderId="28" xfId="0" applyFont="1" applyFill="1" applyBorder="1" applyAlignment="1">
      <alignment horizontal="center" vertical="center" wrapText="1"/>
    </xf>
    <xf numFmtId="0" fontId="11" fillId="0" borderId="0" xfId="0" applyFont="1" applyAlignment="1">
      <alignment horizontal="left" vertical="top"/>
    </xf>
    <xf numFmtId="3" fontId="24" fillId="3" borderId="3" xfId="0" applyNumberFormat="1" applyFont="1" applyFill="1" applyBorder="1" applyAlignment="1">
      <alignment horizontal="center" vertical="center"/>
    </xf>
    <xf numFmtId="1" fontId="20" fillId="3" borderId="32" xfId="0" applyNumberFormat="1" applyFont="1" applyFill="1" applyBorder="1" applyAlignment="1">
      <alignment horizontal="center" vertical="center"/>
    </xf>
    <xf numFmtId="1" fontId="20" fillId="3" borderId="23" xfId="0" applyNumberFormat="1" applyFont="1" applyFill="1" applyBorder="1" applyAlignment="1">
      <alignment horizontal="center" vertical="center"/>
    </xf>
    <xf numFmtId="1" fontId="20" fillId="3" borderId="0" xfId="0" applyNumberFormat="1" applyFont="1" applyFill="1" applyAlignment="1">
      <alignment horizontal="center" vertical="center"/>
    </xf>
    <xf numFmtId="3" fontId="28" fillId="3" borderId="24" xfId="0" applyNumberFormat="1" applyFont="1" applyFill="1" applyBorder="1" applyAlignment="1">
      <alignment horizontal="center" vertical="center"/>
    </xf>
    <xf numFmtId="3" fontId="28" fillId="3" borderId="20" xfId="0" applyNumberFormat="1" applyFont="1" applyFill="1" applyBorder="1" applyAlignment="1">
      <alignment horizontal="center" vertical="center"/>
    </xf>
    <xf numFmtId="3" fontId="45" fillId="3" borderId="24" xfId="0" applyNumberFormat="1" applyFont="1" applyFill="1" applyBorder="1" applyAlignment="1">
      <alignment horizontal="center" vertical="center"/>
    </xf>
    <xf numFmtId="3" fontId="45" fillId="3" borderId="20" xfId="0" applyNumberFormat="1" applyFont="1" applyFill="1" applyBorder="1" applyAlignment="1">
      <alignment horizontal="center" vertical="center"/>
    </xf>
    <xf numFmtId="166" fontId="16" fillId="0" borderId="0" xfId="0" quotePrefix="1" applyNumberFormat="1" applyFont="1" applyAlignment="1">
      <alignment horizontal="left" vertical="center" wrapText="1"/>
    </xf>
    <xf numFmtId="0" fontId="53" fillId="0" borderId="0" xfId="0" applyFont="1" applyAlignment="1">
      <alignment horizontal="left" vertical="center" wrapText="1"/>
    </xf>
    <xf numFmtId="1" fontId="20" fillId="3" borderId="33" xfId="0" applyNumberFormat="1" applyFont="1" applyFill="1" applyBorder="1" applyAlignment="1">
      <alignment horizontal="center" vertical="center"/>
    </xf>
    <xf numFmtId="0" fontId="9" fillId="0" borderId="0" xfId="0" applyFont="1" applyAlignment="1">
      <alignment horizontal="center"/>
    </xf>
    <xf numFmtId="0" fontId="9" fillId="0" borderId="0" xfId="0" applyFont="1" applyAlignment="1">
      <alignment horizontal="center" vertical="center" wrapText="1"/>
    </xf>
    <xf numFmtId="1" fontId="20" fillId="3" borderId="9" xfId="0" applyNumberFormat="1" applyFont="1" applyFill="1" applyBorder="1" applyAlignment="1">
      <alignment horizontal="center" vertical="center"/>
    </xf>
    <xf numFmtId="1" fontId="20" fillId="3" borderId="10" xfId="0" applyNumberFormat="1" applyFont="1" applyFill="1" applyBorder="1" applyAlignment="1">
      <alignment horizontal="center" vertical="center"/>
    </xf>
    <xf numFmtId="1" fontId="20" fillId="3" borderId="4" xfId="0" applyNumberFormat="1" applyFont="1" applyFill="1" applyBorder="1" applyAlignment="1">
      <alignment horizontal="center" vertical="center"/>
    </xf>
    <xf numFmtId="3" fontId="28" fillId="3" borderId="9" xfId="0" applyNumberFormat="1" applyFont="1" applyFill="1" applyBorder="1" applyAlignment="1">
      <alignment horizontal="center" vertical="center"/>
    </xf>
    <xf numFmtId="3" fontId="45" fillId="3" borderId="6" xfId="0" applyNumberFormat="1" applyFont="1" applyFill="1" applyBorder="1" applyAlignment="1">
      <alignment horizontal="center" vertical="center"/>
    </xf>
    <xf numFmtId="3" fontId="45" fillId="3" borderId="7" xfId="0" applyNumberFormat="1" applyFont="1" applyFill="1" applyBorder="1" applyAlignment="1">
      <alignment horizontal="center" vertical="center"/>
    </xf>
    <xf numFmtId="0" fontId="11" fillId="0" borderId="0" xfId="0" applyFont="1" applyAlignment="1">
      <alignment horizontal="left" vertical="top" wrapText="1"/>
    </xf>
    <xf numFmtId="3" fontId="24" fillId="3" borderId="0" xfId="0" applyNumberFormat="1" applyFont="1" applyFill="1" applyAlignment="1">
      <alignment horizontal="center" vertical="center"/>
    </xf>
    <xf numFmtId="166" fontId="31" fillId="3" borderId="19" xfId="0" applyNumberFormat="1" applyFont="1" applyFill="1" applyBorder="1" applyAlignment="1">
      <alignment horizontal="center" vertical="center" wrapText="1"/>
    </xf>
    <xf numFmtId="0" fontId="24" fillId="3" borderId="20" xfId="0" applyFont="1" applyFill="1" applyBorder="1" applyAlignment="1">
      <alignment horizontal="center" vertical="center"/>
    </xf>
    <xf numFmtId="0" fontId="24" fillId="3" borderId="19" xfId="0" applyFont="1" applyFill="1" applyBorder="1" applyAlignment="1">
      <alignment horizontal="center" vertical="center"/>
    </xf>
    <xf numFmtId="0" fontId="24" fillId="3" borderId="20" xfId="0" applyFont="1" applyFill="1" applyBorder="1" applyAlignment="1">
      <alignment horizontal="center" vertical="center" wrapText="1"/>
    </xf>
    <xf numFmtId="173" fontId="24" fillId="6" borderId="0" xfId="0" applyNumberFormat="1" applyFont="1" applyFill="1" applyBorder="1" applyAlignment="1">
      <alignment horizontal="center" vertical="center"/>
    </xf>
    <xf numFmtId="164" fontId="24" fillId="6" borderId="3" xfId="0" applyNumberFormat="1" applyFont="1" applyFill="1" applyBorder="1" applyAlignment="1">
      <alignment horizontal="center" vertical="center"/>
    </xf>
    <xf numFmtId="0" fontId="25" fillId="6" borderId="3" xfId="0" applyFont="1" applyFill="1" applyBorder="1" applyAlignment="1">
      <alignment vertical="center"/>
    </xf>
    <xf numFmtId="167" fontId="20" fillId="8" borderId="3" xfId="0" applyNumberFormat="1" applyFont="1" applyFill="1" applyBorder="1" applyAlignment="1">
      <alignment horizontal="center" vertical="center" readingOrder="1"/>
    </xf>
    <xf numFmtId="167" fontId="20" fillId="8" borderId="0" xfId="0" applyNumberFormat="1" applyFont="1" applyFill="1" applyAlignment="1">
      <alignment horizontal="center" vertical="center" readingOrder="1"/>
    </xf>
    <xf numFmtId="167" fontId="20" fillId="6" borderId="0" xfId="0" applyNumberFormat="1" applyFont="1" applyFill="1" applyBorder="1" applyAlignment="1">
      <alignment horizontal="center" vertical="center" readingOrder="1"/>
    </xf>
  </cellXfs>
  <cellStyles count="3">
    <cellStyle name="Millares" xfId="1" builtinId="3"/>
    <cellStyle name="Normal" xfId="0" builtinId="0"/>
    <cellStyle name="Normal_ado99"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0000"/>
      <color rgb="FFF77591"/>
      <color rgb="FFFF5050"/>
      <color rgb="FFEB81AE"/>
      <color rgb="FF2784D9"/>
      <color rgb="FF33CC33"/>
      <color rgb="FFCE8820"/>
      <color rgb="FF0F65F1"/>
      <color rgb="FFFF333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171450</xdr:colOff>
      <xdr:row>5</xdr:row>
      <xdr:rowOff>0</xdr:rowOff>
    </xdr:from>
    <xdr:to>
      <xdr:col>4</xdr:col>
      <xdr:colOff>762000</xdr:colOff>
      <xdr:row>5</xdr:row>
      <xdr:rowOff>0</xdr:rowOff>
    </xdr:to>
    <xdr:sp macro="" textlink="">
      <xdr:nvSpPr>
        <xdr:cNvPr id="36015" name="Text Box 1">
          <a:extLst>
            <a:ext uri="{FF2B5EF4-FFF2-40B4-BE49-F238E27FC236}">
              <a16:creationId xmlns:a16="http://schemas.microsoft.com/office/drawing/2014/main" id="{00000000-0008-0000-0F00-0000AF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16" name="Text Box 2">
          <a:extLst>
            <a:ext uri="{FF2B5EF4-FFF2-40B4-BE49-F238E27FC236}">
              <a16:creationId xmlns:a16="http://schemas.microsoft.com/office/drawing/2014/main" id="{00000000-0008-0000-0F00-0000B0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17" name="Text Box 3">
          <a:extLst>
            <a:ext uri="{FF2B5EF4-FFF2-40B4-BE49-F238E27FC236}">
              <a16:creationId xmlns:a16="http://schemas.microsoft.com/office/drawing/2014/main" id="{00000000-0008-0000-0F00-0000B1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18" name="Text Box 4">
          <a:extLst>
            <a:ext uri="{FF2B5EF4-FFF2-40B4-BE49-F238E27FC236}">
              <a16:creationId xmlns:a16="http://schemas.microsoft.com/office/drawing/2014/main" id="{00000000-0008-0000-0F00-0000B2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19" name="Text Box 5">
          <a:extLst>
            <a:ext uri="{FF2B5EF4-FFF2-40B4-BE49-F238E27FC236}">
              <a16:creationId xmlns:a16="http://schemas.microsoft.com/office/drawing/2014/main" id="{00000000-0008-0000-0F00-0000B3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20" name="Text Box 1">
          <a:extLst>
            <a:ext uri="{FF2B5EF4-FFF2-40B4-BE49-F238E27FC236}">
              <a16:creationId xmlns:a16="http://schemas.microsoft.com/office/drawing/2014/main" id="{00000000-0008-0000-0F00-0000B4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21" name="Text Box 2">
          <a:extLst>
            <a:ext uri="{FF2B5EF4-FFF2-40B4-BE49-F238E27FC236}">
              <a16:creationId xmlns:a16="http://schemas.microsoft.com/office/drawing/2014/main" id="{00000000-0008-0000-0F00-0000B5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22" name="Text Box 3">
          <a:extLst>
            <a:ext uri="{FF2B5EF4-FFF2-40B4-BE49-F238E27FC236}">
              <a16:creationId xmlns:a16="http://schemas.microsoft.com/office/drawing/2014/main" id="{00000000-0008-0000-0F00-0000B6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23" name="Text Box 4">
          <a:extLst>
            <a:ext uri="{FF2B5EF4-FFF2-40B4-BE49-F238E27FC236}">
              <a16:creationId xmlns:a16="http://schemas.microsoft.com/office/drawing/2014/main" id="{00000000-0008-0000-0F00-0000B7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36024" name="Text Box 5">
          <a:extLst>
            <a:ext uri="{FF2B5EF4-FFF2-40B4-BE49-F238E27FC236}">
              <a16:creationId xmlns:a16="http://schemas.microsoft.com/office/drawing/2014/main" id="{00000000-0008-0000-0F00-0000B88C0000}"/>
            </a:ext>
          </a:extLst>
        </xdr:cNvPr>
        <xdr:cNvSpPr txBox="1">
          <a:spLocks noChangeArrowheads="1"/>
        </xdr:cNvSpPr>
      </xdr:nvSpPr>
      <xdr:spPr bwMode="auto">
        <a:xfrm>
          <a:off x="3219450" y="248602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4</xdr:row>
      <xdr:rowOff>0</xdr:rowOff>
    </xdr:from>
    <xdr:to>
      <xdr:col>4</xdr:col>
      <xdr:colOff>762000</xdr:colOff>
      <xdr:row>4</xdr:row>
      <xdr:rowOff>0</xdr:rowOff>
    </xdr:to>
    <xdr:sp macro="" textlink="">
      <xdr:nvSpPr>
        <xdr:cNvPr id="36025" name="Text Box 1">
          <a:extLst>
            <a:ext uri="{FF2B5EF4-FFF2-40B4-BE49-F238E27FC236}">
              <a16:creationId xmlns:a16="http://schemas.microsoft.com/office/drawing/2014/main" id="{00000000-0008-0000-0F00-0000B98C0000}"/>
            </a:ext>
          </a:extLst>
        </xdr:cNvPr>
        <xdr:cNvSpPr txBox="1">
          <a:spLocks noChangeArrowheads="1"/>
        </xdr:cNvSpPr>
      </xdr:nvSpPr>
      <xdr:spPr bwMode="auto">
        <a:xfrm>
          <a:off x="3219450" y="180975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4</xdr:row>
      <xdr:rowOff>0</xdr:rowOff>
    </xdr:from>
    <xdr:to>
      <xdr:col>4</xdr:col>
      <xdr:colOff>762000</xdr:colOff>
      <xdr:row>4</xdr:row>
      <xdr:rowOff>0</xdr:rowOff>
    </xdr:to>
    <xdr:sp macro="" textlink="">
      <xdr:nvSpPr>
        <xdr:cNvPr id="36026" name="Text Box 2">
          <a:extLst>
            <a:ext uri="{FF2B5EF4-FFF2-40B4-BE49-F238E27FC236}">
              <a16:creationId xmlns:a16="http://schemas.microsoft.com/office/drawing/2014/main" id="{00000000-0008-0000-0F00-0000BA8C0000}"/>
            </a:ext>
          </a:extLst>
        </xdr:cNvPr>
        <xdr:cNvSpPr txBox="1">
          <a:spLocks noChangeArrowheads="1"/>
        </xdr:cNvSpPr>
      </xdr:nvSpPr>
      <xdr:spPr bwMode="auto">
        <a:xfrm>
          <a:off x="3219450" y="180975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3</xdr:row>
      <xdr:rowOff>0</xdr:rowOff>
    </xdr:from>
    <xdr:to>
      <xdr:col>4</xdr:col>
      <xdr:colOff>762000</xdr:colOff>
      <xdr:row>3</xdr:row>
      <xdr:rowOff>0</xdr:rowOff>
    </xdr:to>
    <xdr:sp macro="" textlink="">
      <xdr:nvSpPr>
        <xdr:cNvPr id="36027" name="Text Box 1">
          <a:extLst>
            <a:ext uri="{FF2B5EF4-FFF2-40B4-BE49-F238E27FC236}">
              <a16:creationId xmlns:a16="http://schemas.microsoft.com/office/drawing/2014/main" id="{00000000-0008-0000-0F00-0000BB8C0000}"/>
            </a:ext>
          </a:extLst>
        </xdr:cNvPr>
        <xdr:cNvSpPr txBox="1">
          <a:spLocks noChangeArrowheads="1"/>
        </xdr:cNvSpPr>
      </xdr:nvSpPr>
      <xdr:spPr bwMode="auto">
        <a:xfrm>
          <a:off x="3219450" y="142875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3</xdr:row>
      <xdr:rowOff>0</xdr:rowOff>
    </xdr:from>
    <xdr:to>
      <xdr:col>4</xdr:col>
      <xdr:colOff>762000</xdr:colOff>
      <xdr:row>3</xdr:row>
      <xdr:rowOff>0</xdr:rowOff>
    </xdr:to>
    <xdr:sp macro="" textlink="">
      <xdr:nvSpPr>
        <xdr:cNvPr id="36028" name="Text Box 2">
          <a:extLst>
            <a:ext uri="{FF2B5EF4-FFF2-40B4-BE49-F238E27FC236}">
              <a16:creationId xmlns:a16="http://schemas.microsoft.com/office/drawing/2014/main" id="{00000000-0008-0000-0F00-0000BC8C0000}"/>
            </a:ext>
          </a:extLst>
        </xdr:cNvPr>
        <xdr:cNvSpPr txBox="1">
          <a:spLocks noChangeArrowheads="1"/>
        </xdr:cNvSpPr>
      </xdr:nvSpPr>
      <xdr:spPr bwMode="auto">
        <a:xfrm>
          <a:off x="3219450" y="142875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16" name="Text Box 1">
          <a:extLst>
            <a:ext uri="{FF2B5EF4-FFF2-40B4-BE49-F238E27FC236}">
              <a16:creationId xmlns:a16="http://schemas.microsoft.com/office/drawing/2014/main" id="{00000000-0008-0000-0F00-000010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17" name="Text Box 2">
          <a:extLst>
            <a:ext uri="{FF2B5EF4-FFF2-40B4-BE49-F238E27FC236}">
              <a16:creationId xmlns:a16="http://schemas.microsoft.com/office/drawing/2014/main" id="{00000000-0008-0000-0F00-000011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18" name="Text Box 3">
          <a:extLst>
            <a:ext uri="{FF2B5EF4-FFF2-40B4-BE49-F238E27FC236}">
              <a16:creationId xmlns:a16="http://schemas.microsoft.com/office/drawing/2014/main" id="{00000000-0008-0000-0F00-000012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19" name="Text Box 4">
          <a:extLst>
            <a:ext uri="{FF2B5EF4-FFF2-40B4-BE49-F238E27FC236}">
              <a16:creationId xmlns:a16="http://schemas.microsoft.com/office/drawing/2014/main" id="{00000000-0008-0000-0F00-000013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20" name="Text Box 5">
          <a:extLst>
            <a:ext uri="{FF2B5EF4-FFF2-40B4-BE49-F238E27FC236}">
              <a16:creationId xmlns:a16="http://schemas.microsoft.com/office/drawing/2014/main" id="{00000000-0008-0000-0F00-000014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21" name="Text Box 1">
          <a:extLst>
            <a:ext uri="{FF2B5EF4-FFF2-40B4-BE49-F238E27FC236}">
              <a16:creationId xmlns:a16="http://schemas.microsoft.com/office/drawing/2014/main" id="{00000000-0008-0000-0F00-000015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22" name="Text Box 2">
          <a:extLst>
            <a:ext uri="{FF2B5EF4-FFF2-40B4-BE49-F238E27FC236}">
              <a16:creationId xmlns:a16="http://schemas.microsoft.com/office/drawing/2014/main" id="{00000000-0008-0000-0F00-000016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23" name="Text Box 3">
          <a:extLst>
            <a:ext uri="{FF2B5EF4-FFF2-40B4-BE49-F238E27FC236}">
              <a16:creationId xmlns:a16="http://schemas.microsoft.com/office/drawing/2014/main" id="{00000000-0008-0000-0F00-000017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24" name="Text Box 4">
          <a:extLst>
            <a:ext uri="{FF2B5EF4-FFF2-40B4-BE49-F238E27FC236}">
              <a16:creationId xmlns:a16="http://schemas.microsoft.com/office/drawing/2014/main" id="{00000000-0008-0000-0F00-000018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5</xdr:row>
      <xdr:rowOff>0</xdr:rowOff>
    </xdr:from>
    <xdr:to>
      <xdr:col>4</xdr:col>
      <xdr:colOff>762000</xdr:colOff>
      <xdr:row>5</xdr:row>
      <xdr:rowOff>0</xdr:rowOff>
    </xdr:to>
    <xdr:sp macro="" textlink="">
      <xdr:nvSpPr>
        <xdr:cNvPr id="25" name="Text Box 5">
          <a:extLst>
            <a:ext uri="{FF2B5EF4-FFF2-40B4-BE49-F238E27FC236}">
              <a16:creationId xmlns:a16="http://schemas.microsoft.com/office/drawing/2014/main" id="{00000000-0008-0000-0F00-000019000000}"/>
            </a:ext>
          </a:extLst>
        </xdr:cNvPr>
        <xdr:cNvSpPr txBox="1">
          <a:spLocks noChangeArrowheads="1"/>
        </xdr:cNvSpPr>
      </xdr:nvSpPr>
      <xdr:spPr bwMode="auto">
        <a:xfrm>
          <a:off x="3981450" y="2162175"/>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4</xdr:row>
      <xdr:rowOff>0</xdr:rowOff>
    </xdr:from>
    <xdr:to>
      <xdr:col>4</xdr:col>
      <xdr:colOff>762000</xdr:colOff>
      <xdr:row>4</xdr:row>
      <xdr:rowOff>0</xdr:rowOff>
    </xdr:to>
    <xdr:sp macro="" textlink="">
      <xdr:nvSpPr>
        <xdr:cNvPr id="26" name="Text Box 1">
          <a:extLst>
            <a:ext uri="{FF2B5EF4-FFF2-40B4-BE49-F238E27FC236}">
              <a16:creationId xmlns:a16="http://schemas.microsoft.com/office/drawing/2014/main" id="{00000000-0008-0000-0F00-00001A000000}"/>
            </a:ext>
          </a:extLst>
        </xdr:cNvPr>
        <xdr:cNvSpPr txBox="1">
          <a:spLocks noChangeArrowheads="1"/>
        </xdr:cNvSpPr>
      </xdr:nvSpPr>
      <xdr:spPr bwMode="auto">
        <a:xfrm>
          <a:off x="3981450" y="148590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4</xdr:row>
      <xdr:rowOff>0</xdr:rowOff>
    </xdr:from>
    <xdr:to>
      <xdr:col>4</xdr:col>
      <xdr:colOff>762000</xdr:colOff>
      <xdr:row>4</xdr:row>
      <xdr:rowOff>0</xdr:rowOff>
    </xdr:to>
    <xdr:sp macro="" textlink="">
      <xdr:nvSpPr>
        <xdr:cNvPr id="27" name="Text Box 2">
          <a:extLst>
            <a:ext uri="{FF2B5EF4-FFF2-40B4-BE49-F238E27FC236}">
              <a16:creationId xmlns:a16="http://schemas.microsoft.com/office/drawing/2014/main" id="{00000000-0008-0000-0F00-00001B000000}"/>
            </a:ext>
          </a:extLst>
        </xdr:cNvPr>
        <xdr:cNvSpPr txBox="1">
          <a:spLocks noChangeArrowheads="1"/>
        </xdr:cNvSpPr>
      </xdr:nvSpPr>
      <xdr:spPr bwMode="auto">
        <a:xfrm>
          <a:off x="3981450" y="148590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3</xdr:row>
      <xdr:rowOff>0</xdr:rowOff>
    </xdr:from>
    <xdr:to>
      <xdr:col>4</xdr:col>
      <xdr:colOff>762000</xdr:colOff>
      <xdr:row>3</xdr:row>
      <xdr:rowOff>0</xdr:rowOff>
    </xdr:to>
    <xdr:sp macro="" textlink="">
      <xdr:nvSpPr>
        <xdr:cNvPr id="28" name="Text Box 1">
          <a:extLst>
            <a:ext uri="{FF2B5EF4-FFF2-40B4-BE49-F238E27FC236}">
              <a16:creationId xmlns:a16="http://schemas.microsoft.com/office/drawing/2014/main" id="{00000000-0008-0000-0F00-00001C000000}"/>
            </a:ext>
          </a:extLst>
        </xdr:cNvPr>
        <xdr:cNvSpPr txBox="1">
          <a:spLocks noChangeArrowheads="1"/>
        </xdr:cNvSpPr>
      </xdr:nvSpPr>
      <xdr:spPr bwMode="auto">
        <a:xfrm>
          <a:off x="3981450" y="110490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171450</xdr:colOff>
      <xdr:row>3</xdr:row>
      <xdr:rowOff>0</xdr:rowOff>
    </xdr:from>
    <xdr:to>
      <xdr:col>4</xdr:col>
      <xdr:colOff>762000</xdr:colOff>
      <xdr:row>3</xdr:row>
      <xdr:rowOff>0</xdr:rowOff>
    </xdr:to>
    <xdr:sp macro="" textlink="">
      <xdr:nvSpPr>
        <xdr:cNvPr id="29" name="Text Box 2">
          <a:extLst>
            <a:ext uri="{FF2B5EF4-FFF2-40B4-BE49-F238E27FC236}">
              <a16:creationId xmlns:a16="http://schemas.microsoft.com/office/drawing/2014/main" id="{00000000-0008-0000-0F00-00001D000000}"/>
            </a:ext>
          </a:extLst>
        </xdr:cNvPr>
        <xdr:cNvSpPr txBox="1">
          <a:spLocks noChangeArrowheads="1"/>
        </xdr:cNvSpPr>
      </xdr:nvSpPr>
      <xdr:spPr bwMode="auto">
        <a:xfrm>
          <a:off x="3981450" y="1104900"/>
          <a:ext cx="2352675" cy="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1:T57"/>
  <sheetViews>
    <sheetView showGridLines="0" topLeftCell="A22" zoomScale="70" zoomScaleNormal="70" zoomScaleSheetLayoutView="85" workbookViewId="0">
      <selection activeCell="X53" sqref="X53"/>
    </sheetView>
  </sheetViews>
  <sheetFormatPr baseColWidth="10" defaultColWidth="11.42578125" defaultRowHeight="12.75" customHeight="1" x14ac:dyDescent="0.2"/>
  <cols>
    <col min="1" max="1" width="2.7109375" style="1" customWidth="1"/>
    <col min="2" max="3" width="12.7109375" style="1" customWidth="1"/>
    <col min="4" max="4" width="3.7109375" style="1" customWidth="1"/>
    <col min="5" max="5" width="16.7109375" style="1" customWidth="1"/>
    <col min="6" max="6" width="3.7109375" style="1" customWidth="1"/>
    <col min="7" max="7" width="20.7109375" style="1" customWidth="1"/>
    <col min="8" max="9" width="3.7109375" style="1" customWidth="1"/>
    <col min="10" max="10" width="12.5703125" style="1" customWidth="1"/>
    <col min="11" max="11" width="12.7109375" style="1" customWidth="1"/>
    <col min="12" max="12" width="3.7109375" style="1" customWidth="1"/>
    <col min="13" max="13" width="16.7109375" style="1" customWidth="1"/>
    <col min="14" max="14" width="3.7109375" style="1" customWidth="1"/>
    <col min="15" max="15" width="20.7109375" style="1" customWidth="1"/>
    <col min="16" max="16" width="3.7109375" style="1" customWidth="1"/>
    <col min="17" max="17" width="1.7109375" style="1" customWidth="1"/>
    <col min="18" max="16384" width="11.42578125" style="1"/>
  </cols>
  <sheetData>
    <row r="1" spans="2:20" ht="19.5" customHeight="1" x14ac:dyDescent="0.2">
      <c r="B1" s="691" t="s">
        <v>0</v>
      </c>
      <c r="C1" s="691"/>
      <c r="D1" s="691"/>
      <c r="E1" s="691"/>
      <c r="F1" s="691"/>
      <c r="G1" s="691"/>
      <c r="H1" s="691"/>
      <c r="I1" s="691"/>
      <c r="J1" s="691"/>
      <c r="K1" s="691"/>
      <c r="L1" s="691"/>
      <c r="M1" s="691"/>
      <c r="N1" s="691"/>
      <c r="O1" s="691"/>
      <c r="P1" s="691"/>
    </row>
    <row r="2" spans="2:20" ht="21" customHeight="1" x14ac:dyDescent="0.2">
      <c r="B2" s="693" t="s">
        <v>145</v>
      </c>
      <c r="C2" s="693"/>
      <c r="D2" s="693"/>
      <c r="E2" s="693"/>
      <c r="F2" s="693"/>
      <c r="G2" s="693"/>
      <c r="H2" s="693"/>
      <c r="I2" s="26"/>
    </row>
    <row r="3" spans="2:20" ht="33" customHeight="1" x14ac:dyDescent="0.2">
      <c r="B3" s="692" t="s">
        <v>158</v>
      </c>
      <c r="C3" s="692"/>
      <c r="D3" s="692"/>
      <c r="E3" s="692"/>
      <c r="F3" s="692"/>
      <c r="G3" s="692"/>
      <c r="H3" s="692"/>
      <c r="I3" s="692"/>
      <c r="J3" s="692"/>
      <c r="K3" s="692"/>
      <c r="L3" s="692"/>
      <c r="M3" s="692"/>
      <c r="N3" s="692"/>
      <c r="O3" s="692"/>
      <c r="P3" s="692"/>
    </row>
    <row r="4" spans="2:20" ht="23.25" customHeight="1" x14ac:dyDescent="0.2">
      <c r="B4" s="691" t="s">
        <v>288</v>
      </c>
      <c r="C4" s="691"/>
      <c r="D4" s="691"/>
      <c r="E4" s="691"/>
      <c r="F4" s="691"/>
      <c r="G4" s="691"/>
      <c r="H4" s="691"/>
      <c r="I4" s="691"/>
      <c r="J4" s="691"/>
      <c r="K4" s="691"/>
      <c r="L4" s="691"/>
      <c r="M4" s="691"/>
      <c r="N4" s="691"/>
      <c r="O4" s="691"/>
      <c r="P4" s="691"/>
    </row>
    <row r="5" spans="2:20" ht="51.75" customHeight="1" x14ac:dyDescent="0.2">
      <c r="B5" s="219" t="s">
        <v>1</v>
      </c>
      <c r="C5" s="694" t="s">
        <v>2</v>
      </c>
      <c r="D5" s="694"/>
      <c r="E5" s="695" t="s">
        <v>80</v>
      </c>
      <c r="F5" s="695"/>
      <c r="G5" s="696" t="s">
        <v>61</v>
      </c>
      <c r="H5" s="696"/>
      <c r="I5" s="220"/>
      <c r="J5" s="219" t="s">
        <v>1</v>
      </c>
      <c r="K5" s="694" t="s">
        <v>2</v>
      </c>
      <c r="L5" s="694"/>
      <c r="M5" s="695" t="s">
        <v>80</v>
      </c>
      <c r="N5" s="695"/>
      <c r="O5" s="696" t="s">
        <v>61</v>
      </c>
      <c r="P5" s="696"/>
      <c r="T5" s="214"/>
    </row>
    <row r="6" spans="2:20" ht="17.45" customHeight="1" x14ac:dyDescent="0.2">
      <c r="B6" s="374"/>
      <c r="C6" s="221"/>
      <c r="D6" s="221"/>
      <c r="E6" s="222"/>
      <c r="F6" s="222"/>
      <c r="G6" s="222"/>
      <c r="H6" s="222"/>
      <c r="I6" s="223"/>
      <c r="J6" s="374"/>
      <c r="K6" s="221"/>
      <c r="L6" s="221"/>
      <c r="M6" s="222"/>
      <c r="N6" s="222"/>
      <c r="O6" s="222"/>
      <c r="P6" s="222"/>
      <c r="T6" s="214"/>
    </row>
    <row r="7" spans="2:20" s="29" customFormat="1" ht="25.15" customHeight="1" x14ac:dyDescent="0.2">
      <c r="B7" s="375">
        <v>1965</v>
      </c>
      <c r="C7" s="27">
        <v>397</v>
      </c>
      <c r="D7" s="28"/>
      <c r="E7" s="27">
        <v>135582</v>
      </c>
      <c r="F7" s="513"/>
      <c r="G7" s="27">
        <v>6420619</v>
      </c>
      <c r="H7" s="224"/>
      <c r="I7" s="223"/>
      <c r="J7" s="376">
        <v>1996</v>
      </c>
      <c r="K7" s="27">
        <v>77</v>
      </c>
      <c r="L7" s="27"/>
      <c r="M7" s="27">
        <v>36242</v>
      </c>
      <c r="N7" s="27"/>
      <c r="O7" s="27">
        <v>1399886</v>
      </c>
      <c r="T7" s="667"/>
    </row>
    <row r="8" spans="2:20" s="29" customFormat="1" ht="25.15" customHeight="1" x14ac:dyDescent="0.2">
      <c r="B8" s="375">
        <v>1966</v>
      </c>
      <c r="C8" s="27">
        <v>394</v>
      </c>
      <c r="D8" s="28"/>
      <c r="E8" s="27">
        <v>121232</v>
      </c>
      <c r="F8" s="513"/>
      <c r="G8" s="27">
        <v>11688696</v>
      </c>
      <c r="H8" s="224"/>
      <c r="I8" s="223"/>
      <c r="J8" s="376">
        <v>1997</v>
      </c>
      <c r="K8" s="27">
        <v>66</v>
      </c>
      <c r="L8" s="27"/>
      <c r="M8" s="27">
        <v>19196</v>
      </c>
      <c r="N8" s="27"/>
      <c r="O8" s="27">
        <v>319414</v>
      </c>
      <c r="P8" s="222"/>
      <c r="T8" s="667"/>
    </row>
    <row r="9" spans="2:20" s="29" customFormat="1" ht="25.15" customHeight="1" x14ac:dyDescent="0.2">
      <c r="B9" s="375">
        <v>1967</v>
      </c>
      <c r="C9" s="27">
        <v>414</v>
      </c>
      <c r="D9" s="28"/>
      <c r="E9" s="27">
        <v>142282</v>
      </c>
      <c r="F9" s="513"/>
      <c r="G9" s="27">
        <v>8372772</v>
      </c>
      <c r="H9" s="224"/>
      <c r="I9" s="223"/>
      <c r="J9" s="376">
        <v>1998</v>
      </c>
      <c r="K9" s="27">
        <v>58</v>
      </c>
      <c r="L9" s="27"/>
      <c r="M9" s="27">
        <v>17333</v>
      </c>
      <c r="N9" s="27"/>
      <c r="O9" s="27">
        <v>323168</v>
      </c>
      <c r="P9" s="222"/>
      <c r="T9" s="667"/>
    </row>
    <row r="10" spans="2:20" s="29" customFormat="1" ht="25.15" customHeight="1" x14ac:dyDescent="0.2">
      <c r="B10" s="375">
        <v>1968</v>
      </c>
      <c r="C10" s="27">
        <v>364</v>
      </c>
      <c r="D10" s="28"/>
      <c r="E10" s="27">
        <v>107809</v>
      </c>
      <c r="F10" s="513"/>
      <c r="G10" s="27">
        <v>3377801</v>
      </c>
      <c r="H10" s="224"/>
      <c r="I10" s="223"/>
      <c r="J10" s="376">
        <v>1999</v>
      </c>
      <c r="K10" s="27">
        <v>71</v>
      </c>
      <c r="L10" s="27"/>
      <c r="M10" s="27">
        <v>52080</v>
      </c>
      <c r="N10" s="27"/>
      <c r="O10" s="27">
        <v>724260</v>
      </c>
      <c r="P10" s="222"/>
      <c r="T10" s="667"/>
    </row>
    <row r="11" spans="2:20" ht="25.15" customHeight="1" x14ac:dyDescent="0.2">
      <c r="B11" s="375">
        <v>1969</v>
      </c>
      <c r="C11" s="27">
        <v>372</v>
      </c>
      <c r="D11" s="28"/>
      <c r="E11" s="27">
        <v>91531</v>
      </c>
      <c r="F11" s="513"/>
      <c r="G11" s="27">
        <v>3889300</v>
      </c>
      <c r="H11" s="224"/>
      <c r="I11" s="223"/>
      <c r="J11" s="376">
        <v>2000</v>
      </c>
      <c r="K11" s="27">
        <v>37</v>
      </c>
      <c r="L11" s="27"/>
      <c r="M11" s="27">
        <v>5280</v>
      </c>
      <c r="N11" s="27"/>
      <c r="O11" s="27">
        <v>181691</v>
      </c>
      <c r="P11" s="27"/>
      <c r="T11" s="214"/>
    </row>
    <row r="12" spans="2:20" ht="25.15" customHeight="1" x14ac:dyDescent="0.2">
      <c r="B12" s="376">
        <v>1970</v>
      </c>
      <c r="C12" s="27">
        <v>345</v>
      </c>
      <c r="D12" s="27"/>
      <c r="E12" s="27">
        <v>110990</v>
      </c>
      <c r="F12" s="27"/>
      <c r="G12" s="27">
        <v>5781854</v>
      </c>
      <c r="H12" s="27"/>
      <c r="I12" s="225"/>
      <c r="J12" s="376">
        <v>2001</v>
      </c>
      <c r="K12" s="27">
        <v>40</v>
      </c>
      <c r="L12" s="27"/>
      <c r="M12" s="27">
        <v>11050</v>
      </c>
      <c r="N12" s="27"/>
      <c r="O12" s="27">
        <v>488930</v>
      </c>
      <c r="P12" s="27"/>
      <c r="T12" s="214"/>
    </row>
    <row r="13" spans="2:20" ht="25.15" customHeight="1" x14ac:dyDescent="0.2">
      <c r="B13" s="376">
        <v>1971</v>
      </c>
      <c r="C13" s="27">
        <v>377</v>
      </c>
      <c r="D13" s="27"/>
      <c r="E13" s="27">
        <v>161415</v>
      </c>
      <c r="F13" s="27"/>
      <c r="G13" s="27">
        <v>10881952</v>
      </c>
      <c r="H13" s="27"/>
      <c r="I13" s="225"/>
      <c r="J13" s="376">
        <v>2002</v>
      </c>
      <c r="K13" s="27">
        <v>64</v>
      </c>
      <c r="L13" s="27"/>
      <c r="M13" s="27">
        <v>22925</v>
      </c>
      <c r="N13" s="27"/>
      <c r="O13" s="27">
        <v>912648</v>
      </c>
      <c r="P13" s="27"/>
      <c r="T13" s="214"/>
    </row>
    <row r="14" spans="2:20" ht="25.15" customHeight="1" x14ac:dyDescent="0.2">
      <c r="B14" s="376">
        <v>1972</v>
      </c>
      <c r="C14" s="27">
        <v>409</v>
      </c>
      <c r="D14" s="27"/>
      <c r="E14" s="27">
        <v>130643</v>
      </c>
      <c r="F14" s="27"/>
      <c r="G14" s="27">
        <v>6331012</v>
      </c>
      <c r="H14" s="27"/>
      <c r="I14" s="225"/>
      <c r="J14" s="376">
        <v>2003</v>
      </c>
      <c r="K14" s="27">
        <v>68</v>
      </c>
      <c r="L14" s="27"/>
      <c r="M14" s="27">
        <v>37323</v>
      </c>
      <c r="N14" s="27"/>
      <c r="O14" s="27">
        <v>881362</v>
      </c>
      <c r="P14" s="27"/>
      <c r="T14" s="214"/>
    </row>
    <row r="15" spans="2:20" ht="25.15" customHeight="1" x14ac:dyDescent="0.2">
      <c r="B15" s="376">
        <v>1973</v>
      </c>
      <c r="C15" s="27">
        <v>788</v>
      </c>
      <c r="D15" s="27"/>
      <c r="E15" s="27">
        <v>416251</v>
      </c>
      <c r="F15" s="27"/>
      <c r="G15" s="27">
        <v>15688686</v>
      </c>
      <c r="H15" s="27"/>
      <c r="I15" s="225"/>
      <c r="J15" s="376">
        <v>2004</v>
      </c>
      <c r="K15" s="27">
        <v>107</v>
      </c>
      <c r="L15" s="27"/>
      <c r="M15" s="27">
        <v>29273</v>
      </c>
      <c r="N15" s="27"/>
      <c r="O15" s="27">
        <v>582328</v>
      </c>
      <c r="P15" s="27"/>
      <c r="T15" s="214"/>
    </row>
    <row r="16" spans="2:20" ht="25.15" customHeight="1" x14ac:dyDescent="0.2">
      <c r="B16" s="376">
        <v>1974</v>
      </c>
      <c r="C16" s="27">
        <v>570</v>
      </c>
      <c r="D16" s="27"/>
      <c r="E16" s="27">
        <v>362737</v>
      </c>
      <c r="F16" s="27"/>
      <c r="G16" s="27">
        <v>13413036</v>
      </c>
      <c r="H16" s="27"/>
      <c r="I16" s="225"/>
      <c r="J16" s="376">
        <v>2005</v>
      </c>
      <c r="K16" s="27">
        <v>65</v>
      </c>
      <c r="L16" s="27"/>
      <c r="M16" s="27">
        <v>19022</v>
      </c>
      <c r="N16" s="27"/>
      <c r="O16" s="27">
        <v>478738</v>
      </c>
      <c r="P16" s="27"/>
      <c r="T16" s="214"/>
    </row>
    <row r="17" spans="2:20" ht="25.15" customHeight="1" x14ac:dyDescent="0.2">
      <c r="B17" s="376">
        <v>1975</v>
      </c>
      <c r="C17" s="27">
        <v>779</v>
      </c>
      <c r="D17" s="27"/>
      <c r="E17" s="27">
        <v>617120</v>
      </c>
      <c r="F17" s="27"/>
      <c r="G17" s="27">
        <v>20269428</v>
      </c>
      <c r="H17" s="27"/>
      <c r="I17" s="225"/>
      <c r="J17" s="376">
        <v>2006</v>
      </c>
      <c r="K17" s="27">
        <v>67</v>
      </c>
      <c r="L17" s="27"/>
      <c r="M17" s="27">
        <v>19565</v>
      </c>
      <c r="N17" s="27"/>
      <c r="O17" s="27">
        <v>446584</v>
      </c>
      <c r="P17" s="27"/>
      <c r="T17" s="214"/>
    </row>
    <row r="18" spans="2:20" ht="25.15" customHeight="1" x14ac:dyDescent="0.2">
      <c r="B18" s="376">
        <v>1976</v>
      </c>
      <c r="C18" s="27">
        <v>440</v>
      </c>
      <c r="D18" s="27"/>
      <c r="E18" s="27">
        <v>258101</v>
      </c>
      <c r="F18" s="27"/>
      <c r="G18" s="27">
        <v>6822220</v>
      </c>
      <c r="H18" s="27"/>
      <c r="I18" s="225"/>
      <c r="J18" s="376">
        <v>2007</v>
      </c>
      <c r="K18" s="27">
        <v>73</v>
      </c>
      <c r="L18" s="27"/>
      <c r="M18" s="27">
        <v>48096</v>
      </c>
      <c r="N18" s="27"/>
      <c r="O18" s="27">
        <v>2216520</v>
      </c>
      <c r="P18" s="27"/>
      <c r="T18" s="214"/>
    </row>
    <row r="19" spans="2:20" ht="25.15" customHeight="1" x14ac:dyDescent="0.2">
      <c r="B19" s="376">
        <v>1977</v>
      </c>
      <c r="C19" s="27">
        <v>234</v>
      </c>
      <c r="D19" s="27"/>
      <c r="E19" s="27">
        <v>406461</v>
      </c>
      <c r="F19" s="27"/>
      <c r="G19" s="27">
        <v>6543350</v>
      </c>
      <c r="H19" s="27"/>
      <c r="I19" s="225"/>
      <c r="J19" s="376">
        <v>2008</v>
      </c>
      <c r="K19" s="27">
        <v>63</v>
      </c>
      <c r="L19" s="27"/>
      <c r="M19" s="27">
        <v>34011</v>
      </c>
      <c r="N19" s="27"/>
      <c r="O19" s="27">
        <v>1520960</v>
      </c>
      <c r="P19" s="27"/>
      <c r="T19" s="214"/>
    </row>
    <row r="20" spans="2:20" ht="25.15" customHeight="1" x14ac:dyDescent="0.2">
      <c r="B20" s="376">
        <v>1978</v>
      </c>
      <c r="C20" s="27">
        <v>364</v>
      </c>
      <c r="D20" s="27"/>
      <c r="E20" s="27">
        <v>1398387</v>
      </c>
      <c r="F20" s="27"/>
      <c r="G20" s="27">
        <v>36144734</v>
      </c>
      <c r="H20" s="27"/>
      <c r="I20" s="225"/>
      <c r="J20" s="376">
        <v>2009</v>
      </c>
      <c r="K20" s="27">
        <v>99</v>
      </c>
      <c r="L20" s="27"/>
      <c r="M20" s="27">
        <v>36114</v>
      </c>
      <c r="N20" s="27"/>
      <c r="O20" s="27">
        <v>1452466</v>
      </c>
      <c r="P20" s="27"/>
      <c r="T20" s="214"/>
    </row>
    <row r="21" spans="2:20" ht="25.15" customHeight="1" x14ac:dyDescent="0.2">
      <c r="B21" s="376">
        <v>1979</v>
      </c>
      <c r="C21" s="27">
        <v>653</v>
      </c>
      <c r="D21" s="27"/>
      <c r="E21" s="27">
        <v>841144</v>
      </c>
      <c r="F21" s="27"/>
      <c r="G21" s="27">
        <v>13410735</v>
      </c>
      <c r="H21" s="27"/>
      <c r="I21" s="225"/>
      <c r="J21" s="376">
        <v>2010</v>
      </c>
      <c r="K21" s="27">
        <v>83</v>
      </c>
      <c r="L21" s="27"/>
      <c r="M21" s="27">
        <v>30606</v>
      </c>
      <c r="N21" s="27"/>
      <c r="O21" s="27">
        <v>1279380</v>
      </c>
      <c r="P21" s="27"/>
      <c r="T21" s="214"/>
    </row>
    <row r="22" spans="2:20" ht="25.15" customHeight="1" x14ac:dyDescent="0.2">
      <c r="B22" s="376">
        <v>1980</v>
      </c>
      <c r="C22" s="27">
        <v>739</v>
      </c>
      <c r="D22" s="27"/>
      <c r="E22" s="27">
        <v>481484</v>
      </c>
      <c r="F22" s="27"/>
      <c r="G22" s="27">
        <v>17918890</v>
      </c>
      <c r="H22" s="27"/>
      <c r="I22" s="225"/>
      <c r="J22" s="376">
        <v>2011</v>
      </c>
      <c r="K22" s="27">
        <v>84</v>
      </c>
      <c r="L22" s="27"/>
      <c r="M22" s="27">
        <v>26770</v>
      </c>
      <c r="N22" s="27"/>
      <c r="O22" s="27">
        <v>1799416</v>
      </c>
      <c r="P22" s="27"/>
      <c r="T22" s="214"/>
    </row>
    <row r="23" spans="2:20" ht="25.15" customHeight="1" x14ac:dyDescent="0.2">
      <c r="B23" s="376">
        <v>1981</v>
      </c>
      <c r="C23" s="27">
        <v>871</v>
      </c>
      <c r="D23" s="27"/>
      <c r="E23" s="27">
        <v>856915</v>
      </c>
      <c r="F23" s="27"/>
      <c r="G23" s="27">
        <v>19973932</v>
      </c>
      <c r="H23" s="27"/>
      <c r="I23" s="225"/>
      <c r="J23" s="376">
        <v>2012</v>
      </c>
      <c r="K23" s="27">
        <v>89</v>
      </c>
      <c r="L23" s="27"/>
      <c r="M23" s="27">
        <v>25845</v>
      </c>
      <c r="N23" s="27"/>
      <c r="O23" s="27">
        <v>1878696</v>
      </c>
      <c r="P23" s="70"/>
      <c r="T23" s="214"/>
    </row>
    <row r="24" spans="2:20" ht="25.15" customHeight="1" x14ac:dyDescent="0.2">
      <c r="B24" s="376">
        <v>1982</v>
      </c>
      <c r="C24" s="27">
        <v>809</v>
      </c>
      <c r="D24" s="27"/>
      <c r="E24" s="27">
        <v>572263</v>
      </c>
      <c r="F24" s="27"/>
      <c r="G24" s="27">
        <v>22750879</v>
      </c>
      <c r="H24" s="27"/>
      <c r="I24" s="225"/>
      <c r="J24" s="376">
        <v>2013</v>
      </c>
      <c r="K24" s="27">
        <v>94</v>
      </c>
      <c r="L24" s="27"/>
      <c r="M24" s="27">
        <v>26736</v>
      </c>
      <c r="N24" s="27"/>
      <c r="O24" s="27">
        <v>1573202</v>
      </c>
      <c r="P24" s="70"/>
      <c r="T24" s="214"/>
    </row>
    <row r="25" spans="2:20" ht="25.15" customHeight="1" x14ac:dyDescent="0.2">
      <c r="B25" s="376">
        <v>1983</v>
      </c>
      <c r="C25" s="27">
        <v>643</v>
      </c>
      <c r="D25" s="27"/>
      <c r="E25" s="27">
        <v>785545</v>
      </c>
      <c r="F25" s="27"/>
      <c r="G25" s="27">
        <v>20300000</v>
      </c>
      <c r="H25" s="27"/>
      <c r="I25" s="225"/>
      <c r="J25" s="376">
        <v>2014</v>
      </c>
      <c r="K25" s="27">
        <v>95</v>
      </c>
      <c r="M25" s="27">
        <v>40681</v>
      </c>
      <c r="N25" s="27"/>
      <c r="O25" s="27">
        <v>3153018</v>
      </c>
      <c r="P25" s="70"/>
      <c r="T25" s="214"/>
    </row>
    <row r="26" spans="2:20" ht="25.15" customHeight="1" x14ac:dyDescent="0.2">
      <c r="B26" s="376">
        <v>1984</v>
      </c>
      <c r="C26" s="27">
        <v>509</v>
      </c>
      <c r="D26" s="27"/>
      <c r="E26" s="27">
        <v>694234</v>
      </c>
      <c r="F26" s="27"/>
      <c r="G26" s="27">
        <v>14081764</v>
      </c>
      <c r="H26" s="27"/>
      <c r="I26" s="225"/>
      <c r="J26" s="376">
        <v>2015</v>
      </c>
      <c r="K26" s="27">
        <v>47</v>
      </c>
      <c r="M26" s="27">
        <v>32066</v>
      </c>
      <c r="N26" s="27"/>
      <c r="O26" s="27">
        <v>1925632</v>
      </c>
      <c r="P26" s="70"/>
      <c r="T26" s="214"/>
    </row>
    <row r="27" spans="2:20" ht="25.15" customHeight="1" x14ac:dyDescent="0.2">
      <c r="B27" s="376">
        <v>1985</v>
      </c>
      <c r="C27" s="27">
        <v>579</v>
      </c>
      <c r="D27" s="27"/>
      <c r="E27" s="27">
        <v>237695</v>
      </c>
      <c r="F27" s="27"/>
      <c r="G27" s="27">
        <v>12228220</v>
      </c>
      <c r="H27" s="27"/>
      <c r="I27" s="225"/>
      <c r="J27" s="376">
        <v>2016</v>
      </c>
      <c r="K27" s="27">
        <v>41</v>
      </c>
      <c r="M27" s="27">
        <v>20463</v>
      </c>
      <c r="O27" s="27">
        <v>3084056</v>
      </c>
      <c r="P27" s="70"/>
      <c r="T27" s="214"/>
    </row>
    <row r="28" spans="2:20" ht="25.15" customHeight="1" x14ac:dyDescent="0.2">
      <c r="B28" s="376">
        <v>1986</v>
      </c>
      <c r="C28" s="27">
        <v>648</v>
      </c>
      <c r="D28" s="27"/>
      <c r="E28" s="27">
        <v>249374</v>
      </c>
      <c r="F28" s="27"/>
      <c r="G28" s="27">
        <v>16867444</v>
      </c>
      <c r="H28" s="27"/>
      <c r="I28" s="225"/>
      <c r="J28" s="376">
        <v>2017</v>
      </c>
      <c r="K28" s="1">
        <v>45</v>
      </c>
      <c r="M28" s="27">
        <v>56610</v>
      </c>
      <c r="O28" s="27">
        <v>3006494</v>
      </c>
      <c r="P28" s="70"/>
      <c r="T28" s="214"/>
    </row>
    <row r="29" spans="2:20" ht="25.15" customHeight="1" x14ac:dyDescent="0.2">
      <c r="B29" s="376">
        <v>1987</v>
      </c>
      <c r="C29" s="27">
        <v>720</v>
      </c>
      <c r="D29" s="27"/>
      <c r="E29" s="27">
        <v>309407</v>
      </c>
      <c r="F29" s="27"/>
      <c r="G29" s="27">
        <v>9067930</v>
      </c>
      <c r="H29" s="27"/>
      <c r="I29" s="225"/>
      <c r="J29" s="376">
        <v>2018</v>
      </c>
      <c r="K29" s="27">
        <v>54</v>
      </c>
      <c r="M29" s="27">
        <v>21496</v>
      </c>
      <c r="O29" s="27">
        <v>738864</v>
      </c>
      <c r="P29" s="70"/>
      <c r="T29" s="214"/>
    </row>
    <row r="30" spans="2:20" ht="25.15" customHeight="1" x14ac:dyDescent="0.2">
      <c r="B30" s="376">
        <v>1988</v>
      </c>
      <c r="C30" s="27">
        <v>814</v>
      </c>
      <c r="D30" s="27"/>
      <c r="E30" s="27">
        <v>693252</v>
      </c>
      <c r="F30" s="27"/>
      <c r="G30" s="27">
        <v>38274969</v>
      </c>
      <c r="H30" s="27"/>
      <c r="I30" s="225"/>
      <c r="J30" s="376">
        <v>2019</v>
      </c>
      <c r="K30" s="17">
        <v>67</v>
      </c>
      <c r="L30" s="17"/>
      <c r="M30" s="17">
        <v>110154</v>
      </c>
      <c r="N30" s="17"/>
      <c r="O30" s="17">
        <v>2085856</v>
      </c>
      <c r="P30" s="70"/>
      <c r="T30" s="214"/>
    </row>
    <row r="31" spans="2:20" ht="25.15" customHeight="1" x14ac:dyDescent="0.2">
      <c r="B31" s="376">
        <v>1989</v>
      </c>
      <c r="C31" s="27">
        <v>667</v>
      </c>
      <c r="D31" s="27"/>
      <c r="E31" s="27">
        <v>208235</v>
      </c>
      <c r="F31" s="27"/>
      <c r="G31" s="27">
        <v>15223166</v>
      </c>
      <c r="H31" s="27"/>
      <c r="I31" s="225"/>
      <c r="J31" s="376">
        <v>2020</v>
      </c>
      <c r="K31" s="17">
        <v>23</v>
      </c>
      <c r="L31" s="17"/>
      <c r="M31" s="17">
        <v>127868</v>
      </c>
      <c r="N31" s="17"/>
      <c r="O31" s="17">
        <v>3653184</v>
      </c>
      <c r="P31" s="70"/>
      <c r="T31" s="214"/>
    </row>
    <row r="32" spans="2:20" ht="25.15" customHeight="1" x14ac:dyDescent="0.2">
      <c r="B32" s="376">
        <v>1990</v>
      </c>
      <c r="C32" s="27">
        <v>613</v>
      </c>
      <c r="D32" s="27"/>
      <c r="E32" s="27">
        <v>258234</v>
      </c>
      <c r="F32" s="27"/>
      <c r="G32" s="27">
        <v>15067880</v>
      </c>
      <c r="H32" s="27"/>
      <c r="I32" s="225"/>
      <c r="J32" s="376">
        <v>2021</v>
      </c>
      <c r="K32" s="17">
        <v>38</v>
      </c>
      <c r="L32" s="17"/>
      <c r="M32" s="17">
        <v>209142</v>
      </c>
      <c r="N32" s="17"/>
      <c r="O32" s="17">
        <v>3027240</v>
      </c>
      <c r="P32" s="70"/>
      <c r="T32" s="214"/>
    </row>
    <row r="33" spans="2:20" ht="25.15" customHeight="1" x14ac:dyDescent="0.2">
      <c r="B33" s="376">
        <v>1991</v>
      </c>
      <c r="C33" s="27">
        <v>315</v>
      </c>
      <c r="D33" s="27"/>
      <c r="E33" s="27">
        <v>180728</v>
      </c>
      <c r="F33" s="27"/>
      <c r="G33" s="27">
        <v>8880886</v>
      </c>
      <c r="H33" s="27"/>
      <c r="I33" s="225"/>
      <c r="J33" s="376">
        <v>2022</v>
      </c>
      <c r="K33" s="17">
        <v>41</v>
      </c>
      <c r="L33" s="17"/>
      <c r="M33" s="17">
        <v>29145</v>
      </c>
      <c r="N33" s="17"/>
      <c r="O33" s="17">
        <v>2122932</v>
      </c>
      <c r="P33" s="17"/>
      <c r="T33" s="214"/>
    </row>
    <row r="34" spans="2:20" ht="25.15" customHeight="1" x14ac:dyDescent="0.2">
      <c r="B34" s="376">
        <v>1992</v>
      </c>
      <c r="C34" s="27">
        <v>219</v>
      </c>
      <c r="D34" s="27"/>
      <c r="E34" s="27">
        <v>114656</v>
      </c>
      <c r="F34" s="27"/>
      <c r="G34" s="27">
        <v>2319379</v>
      </c>
      <c r="H34" s="21"/>
      <c r="I34" s="21"/>
      <c r="J34" s="376">
        <v>2023</v>
      </c>
      <c r="K34" s="17">
        <v>55</v>
      </c>
      <c r="L34" s="17"/>
      <c r="M34" s="17">
        <v>77883</v>
      </c>
      <c r="N34" s="17"/>
      <c r="O34" s="17">
        <v>1462009</v>
      </c>
      <c r="T34" s="214"/>
    </row>
    <row r="35" spans="2:20" ht="25.15" customHeight="1" x14ac:dyDescent="0.2">
      <c r="B35" s="376">
        <v>1993</v>
      </c>
      <c r="C35" s="27">
        <v>151</v>
      </c>
      <c r="D35" s="27"/>
      <c r="E35" s="27">
        <v>41474</v>
      </c>
      <c r="F35" s="27"/>
      <c r="G35" s="27">
        <v>2167764</v>
      </c>
      <c r="H35" s="21"/>
      <c r="I35" s="21"/>
      <c r="J35" s="376">
        <v>2024</v>
      </c>
      <c r="K35" s="17">
        <v>63</v>
      </c>
      <c r="L35" s="17"/>
      <c r="M35" s="17">
        <v>76704</v>
      </c>
      <c r="N35" s="17"/>
      <c r="O35" s="17">
        <v>2295516</v>
      </c>
      <c r="T35" s="214"/>
    </row>
    <row r="36" spans="2:20" ht="25.15" customHeight="1" x14ac:dyDescent="0.2">
      <c r="B36" s="376">
        <v>1994</v>
      </c>
      <c r="C36" s="27">
        <v>168</v>
      </c>
      <c r="D36" s="27"/>
      <c r="E36" s="27">
        <v>62940</v>
      </c>
      <c r="F36" s="27"/>
      <c r="G36" s="27">
        <v>1936647</v>
      </c>
      <c r="H36" s="21"/>
      <c r="I36" s="21"/>
      <c r="J36" s="376">
        <v>2025</v>
      </c>
      <c r="K36" s="17">
        <v>58</v>
      </c>
      <c r="L36" s="17"/>
      <c r="M36" s="17">
        <v>74366</v>
      </c>
      <c r="N36" s="17"/>
      <c r="O36" s="17">
        <v>7781734</v>
      </c>
    </row>
    <row r="37" spans="2:20" ht="25.15" customHeight="1" x14ac:dyDescent="0.2">
      <c r="B37" s="376">
        <v>1995</v>
      </c>
      <c r="C37" s="27">
        <v>102</v>
      </c>
      <c r="D37" s="27"/>
      <c r="E37" s="27">
        <v>28182</v>
      </c>
      <c r="F37" s="27"/>
      <c r="G37" s="27">
        <v>1048753</v>
      </c>
      <c r="H37" s="21"/>
      <c r="I37" s="21"/>
      <c r="J37" s="30"/>
      <c r="K37" s="17"/>
      <c r="L37" s="17"/>
      <c r="M37" s="17"/>
      <c r="N37" s="17"/>
      <c r="O37" s="17"/>
    </row>
    <row r="38" spans="2:20" x14ac:dyDescent="0.2">
      <c r="B38" s="30"/>
      <c r="C38" s="27"/>
      <c r="D38" s="27"/>
      <c r="E38" s="27"/>
      <c r="F38" s="27"/>
      <c r="G38" s="27"/>
      <c r="H38" s="21"/>
      <c r="I38" s="21"/>
      <c r="K38" s="17"/>
      <c r="L38" s="17"/>
      <c r="M38" s="17"/>
      <c r="N38" s="17"/>
      <c r="O38" s="17"/>
      <c r="P38" s="17"/>
    </row>
    <row r="39" spans="2:20" ht="25.15" customHeight="1" x14ac:dyDescent="0.2">
      <c r="B39" s="5" t="s">
        <v>217</v>
      </c>
      <c r="C39" s="6"/>
      <c r="D39" s="6"/>
      <c r="E39" s="6"/>
      <c r="F39" s="6"/>
      <c r="G39" s="7"/>
      <c r="H39" s="6"/>
      <c r="I39" s="6"/>
    </row>
    <row r="40" spans="2:20" ht="25.15" customHeight="1" x14ac:dyDescent="0.2">
      <c r="B40" s="690" t="s">
        <v>255</v>
      </c>
      <c r="C40" s="690"/>
      <c r="D40" s="690"/>
      <c r="E40" s="690"/>
      <c r="F40" s="690"/>
      <c r="G40" s="690"/>
      <c r="H40" s="690"/>
      <c r="I40" s="690"/>
      <c r="J40" s="690"/>
      <c r="K40" s="690"/>
      <c r="L40" s="690"/>
      <c r="M40" s="690"/>
      <c r="N40" s="690"/>
      <c r="O40" s="690"/>
    </row>
    <row r="41" spans="2:20" ht="25.15" customHeight="1" x14ac:dyDescent="0.2">
      <c r="B41" s="16" t="s">
        <v>245</v>
      </c>
      <c r="D41" s="17"/>
      <c r="E41" s="18"/>
      <c r="F41" s="17"/>
      <c r="G41" s="19"/>
      <c r="H41" s="20"/>
      <c r="I41" s="21"/>
      <c r="J41" s="21"/>
    </row>
    <row r="42" spans="2:20" ht="12.75" customHeight="1" x14ac:dyDescent="0.2">
      <c r="T42" s="30"/>
    </row>
    <row r="43" spans="2:20" ht="12.75" customHeight="1" x14ac:dyDescent="0.2">
      <c r="T43" s="30"/>
    </row>
    <row r="44" spans="2:20" ht="12.75" customHeight="1" x14ac:dyDescent="0.2">
      <c r="T44" s="30"/>
    </row>
    <row r="45" spans="2:20" ht="12.75" customHeight="1" x14ac:dyDescent="0.2">
      <c r="T45" s="30"/>
    </row>
    <row r="46" spans="2:20" ht="12.75" customHeight="1" x14ac:dyDescent="0.2">
      <c r="T46" s="30"/>
    </row>
    <row r="47" spans="2:20" ht="12.75" customHeight="1" x14ac:dyDescent="0.2">
      <c r="T47" s="30"/>
    </row>
    <row r="48" spans="2:20" ht="12.75" customHeight="1" x14ac:dyDescent="0.2">
      <c r="T48" s="30"/>
    </row>
    <row r="49" spans="20:20" ht="12.75" customHeight="1" x14ac:dyDescent="0.2">
      <c r="T49" s="30"/>
    </row>
    <row r="50" spans="20:20" ht="12.75" customHeight="1" x14ac:dyDescent="0.2">
      <c r="T50" s="30"/>
    </row>
    <row r="51" spans="20:20" ht="12.75" customHeight="1" x14ac:dyDescent="0.2">
      <c r="T51" s="30"/>
    </row>
    <row r="52" spans="20:20" ht="12.75" customHeight="1" x14ac:dyDescent="0.2">
      <c r="T52" s="30"/>
    </row>
    <row r="53" spans="20:20" ht="12.75" customHeight="1" x14ac:dyDescent="0.2">
      <c r="T53" s="30"/>
    </row>
    <row r="54" spans="20:20" ht="12.75" customHeight="1" x14ac:dyDescent="0.2">
      <c r="T54" s="30"/>
    </row>
    <row r="55" spans="20:20" ht="12.75" customHeight="1" x14ac:dyDescent="0.2">
      <c r="T55" s="30"/>
    </row>
    <row r="56" spans="20:20" ht="12.75" customHeight="1" x14ac:dyDescent="0.2">
      <c r="T56" s="30"/>
    </row>
    <row r="57" spans="20:20" ht="12.75" customHeight="1" x14ac:dyDescent="0.2">
      <c r="T57" s="30"/>
    </row>
  </sheetData>
  <mergeCells count="11">
    <mergeCell ref="B40:O40"/>
    <mergeCell ref="B1:P1"/>
    <mergeCell ref="B3:P3"/>
    <mergeCell ref="B4:P4"/>
    <mergeCell ref="B2:H2"/>
    <mergeCell ref="C5:D5"/>
    <mergeCell ref="E5:F5"/>
    <mergeCell ref="G5:H5"/>
    <mergeCell ref="K5:L5"/>
    <mergeCell ref="M5:N5"/>
    <mergeCell ref="O5:P5"/>
  </mergeCells>
  <phoneticPr fontId="2" type="noConversion"/>
  <printOptions horizontalCentered="1" verticalCentered="1"/>
  <pageMargins left="0" right="0" top="0" bottom="0" header="0" footer="0"/>
  <pageSetup paperSize="9" scale="5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B1:O25"/>
  <sheetViews>
    <sheetView showGridLines="0" topLeftCell="B4" zoomScale="70" zoomScaleNormal="70" zoomScaleSheetLayoutView="80" workbookViewId="0">
      <selection activeCell="D30" sqref="D30"/>
    </sheetView>
  </sheetViews>
  <sheetFormatPr baseColWidth="10" defaultColWidth="11.42578125" defaultRowHeight="12.75" x14ac:dyDescent="0.2"/>
  <cols>
    <col min="1" max="1" width="5.28515625" style="38" customWidth="1"/>
    <col min="2" max="2" width="70.5703125" style="38" customWidth="1"/>
    <col min="3" max="3" width="13.5703125" style="38" customWidth="1"/>
    <col min="4" max="4" width="3.7109375" style="38" customWidth="1"/>
    <col min="5" max="5" width="13" style="38" customWidth="1"/>
    <col min="6" max="6" width="3.7109375" style="38" customWidth="1"/>
    <col min="7" max="7" width="12.7109375" style="38" customWidth="1"/>
    <col min="8" max="8" width="3.7109375" style="38" customWidth="1"/>
    <col min="9" max="9" width="12.7109375" style="38" customWidth="1"/>
    <col min="10" max="10" width="3.7109375" style="38" customWidth="1"/>
    <col min="11" max="11" width="15.7109375" style="38" customWidth="1"/>
    <col min="12" max="12" width="3.7109375" style="38" customWidth="1"/>
    <col min="13" max="13" width="15.7109375" style="38" customWidth="1"/>
    <col min="14" max="14" width="3.7109375" style="38" customWidth="1"/>
    <col min="15" max="15" width="4.5703125" style="38" customWidth="1"/>
    <col min="16" max="16384" width="11.42578125" style="38"/>
  </cols>
  <sheetData>
    <row r="1" spans="2:15" s="32" customFormat="1" ht="30" customHeight="1" x14ac:dyDescent="0.25">
      <c r="B1" s="698" t="s">
        <v>3</v>
      </c>
      <c r="C1" s="698"/>
      <c r="D1" s="698"/>
      <c r="E1" s="698"/>
      <c r="F1" s="698"/>
      <c r="G1" s="698"/>
      <c r="H1" s="698"/>
      <c r="I1" s="698"/>
      <c r="J1" s="698"/>
      <c r="K1" s="698"/>
      <c r="L1" s="698"/>
      <c r="M1" s="698"/>
      <c r="N1" s="698"/>
      <c r="O1" s="31"/>
    </row>
    <row r="2" spans="2:15" s="32" customFormat="1" ht="30.75" customHeight="1" x14ac:dyDescent="0.25">
      <c r="B2" s="33" t="s">
        <v>145</v>
      </c>
      <c r="C2" s="34"/>
      <c r="D2" s="34"/>
      <c r="E2" s="34"/>
      <c r="F2" s="34"/>
      <c r="G2" s="34"/>
      <c r="H2" s="34"/>
      <c r="I2" s="34"/>
      <c r="J2" s="34"/>
      <c r="K2" s="34"/>
      <c r="L2" s="34"/>
      <c r="M2" s="34"/>
    </row>
    <row r="3" spans="2:15" s="32" customFormat="1" ht="34.5" customHeight="1" x14ac:dyDescent="0.25">
      <c r="B3" s="704" t="s">
        <v>182</v>
      </c>
      <c r="C3" s="704"/>
      <c r="D3" s="704"/>
      <c r="E3" s="704"/>
      <c r="F3" s="704"/>
      <c r="G3" s="704"/>
      <c r="H3" s="704"/>
      <c r="I3" s="704"/>
      <c r="J3" s="704"/>
      <c r="K3" s="704"/>
      <c r="L3" s="704"/>
      <c r="M3" s="704"/>
      <c r="N3" s="704"/>
    </row>
    <row r="4" spans="2:15" s="34" customFormat="1" ht="46.5" customHeight="1" x14ac:dyDescent="0.25">
      <c r="B4" s="705" t="s">
        <v>289</v>
      </c>
      <c r="C4" s="698"/>
      <c r="D4" s="698"/>
      <c r="E4" s="698"/>
      <c r="F4" s="698"/>
      <c r="G4" s="698"/>
      <c r="H4" s="698"/>
      <c r="I4" s="698"/>
      <c r="J4" s="698"/>
      <c r="K4" s="698"/>
      <c r="L4" s="698"/>
      <c r="M4" s="698"/>
      <c r="N4" s="698"/>
      <c r="O4" s="32"/>
    </row>
    <row r="5" spans="2:15" s="35" customFormat="1" ht="54" customHeight="1" x14ac:dyDescent="0.25">
      <c r="B5" s="701" t="s">
        <v>4</v>
      </c>
      <c r="C5" s="699" t="s">
        <v>2</v>
      </c>
      <c r="D5" s="699"/>
      <c r="E5" s="699"/>
      <c r="F5" s="700"/>
      <c r="G5" s="702" t="s">
        <v>15</v>
      </c>
      <c r="H5" s="699"/>
      <c r="I5" s="699"/>
      <c r="J5" s="700"/>
      <c r="K5" s="699" t="s">
        <v>12</v>
      </c>
      <c r="L5" s="699"/>
      <c r="M5" s="699"/>
      <c r="N5" s="699"/>
      <c r="O5" s="34"/>
    </row>
    <row r="6" spans="2:15" s="35" customFormat="1" ht="37.15" customHeight="1" x14ac:dyDescent="0.25">
      <c r="B6" s="701"/>
      <c r="C6" s="703" t="s">
        <v>120</v>
      </c>
      <c r="D6" s="703"/>
      <c r="E6" s="706" t="s">
        <v>5</v>
      </c>
      <c r="F6" s="707"/>
      <c r="G6" s="703" t="s">
        <v>120</v>
      </c>
      <c r="H6" s="703"/>
      <c r="I6" s="706" t="s">
        <v>5</v>
      </c>
      <c r="J6" s="707"/>
      <c r="K6" s="703" t="s">
        <v>120</v>
      </c>
      <c r="L6" s="703"/>
      <c r="M6" s="703" t="s">
        <v>5</v>
      </c>
      <c r="N6" s="703"/>
      <c r="O6" s="34"/>
    </row>
    <row r="7" spans="2:15" s="36" customFormat="1" ht="40.5" customHeight="1" x14ac:dyDescent="0.2">
      <c r="B7" s="377" t="s">
        <v>290</v>
      </c>
      <c r="C7" s="226">
        <v>1</v>
      </c>
      <c r="D7" s="227"/>
      <c r="E7" s="228">
        <f>SUM(E8:E8)</f>
        <v>1.7241379310344827</v>
      </c>
      <c r="F7" s="227"/>
      <c r="G7" s="227">
        <f>SUM(G8:G8)</f>
        <v>890</v>
      </c>
      <c r="H7" s="227"/>
      <c r="I7" s="228">
        <f>SUM(I8:I8)</f>
        <v>1.1967834763198235</v>
      </c>
      <c r="J7" s="227"/>
      <c r="K7" s="227">
        <f>SUM(K8:K8)</f>
        <v>56960</v>
      </c>
      <c r="L7" s="227"/>
      <c r="M7" s="228">
        <f>SUM(M8:M8)</f>
        <v>0.73197053510181664</v>
      </c>
      <c r="N7" s="220"/>
    </row>
    <row r="8" spans="2:15" s="36" customFormat="1" ht="30" customHeight="1" x14ac:dyDescent="0.2">
      <c r="B8" s="378" t="s">
        <v>291</v>
      </c>
      <c r="C8" s="229">
        <v>1</v>
      </c>
      <c r="D8" s="229"/>
      <c r="E8" s="230">
        <f>C8*100/C17</f>
        <v>1.7241379310344827</v>
      </c>
      <c r="F8" s="229"/>
      <c r="G8" s="229">
        <v>890</v>
      </c>
      <c r="H8" s="229"/>
      <c r="I8" s="231">
        <f>G8*100/G17</f>
        <v>1.1967834763198235</v>
      </c>
      <c r="J8" s="229"/>
      <c r="K8" s="229">
        <v>56960</v>
      </c>
      <c r="L8" s="229"/>
      <c r="M8" s="230">
        <f>K8*100/K17</f>
        <v>0.73197053510181664</v>
      </c>
      <c r="N8" s="232"/>
    </row>
    <row r="9" spans="2:15" s="36" customFormat="1" ht="40.5" customHeight="1" x14ac:dyDescent="0.2">
      <c r="B9" s="377" t="s">
        <v>118</v>
      </c>
      <c r="C9" s="226">
        <f>SUM(C10)</f>
        <v>20</v>
      </c>
      <c r="D9" s="227"/>
      <c r="E9" s="228">
        <f>SUM(E10)</f>
        <v>34.482758620689658</v>
      </c>
      <c r="F9" s="227"/>
      <c r="G9" s="227">
        <f>SUM(G10)</f>
        <v>35155</v>
      </c>
      <c r="H9" s="227"/>
      <c r="I9" s="228">
        <f>SUM(I10)</f>
        <v>47.272947314633029</v>
      </c>
      <c r="J9" s="227"/>
      <c r="K9" s="227">
        <f>SUM(K10)</f>
        <v>5436336</v>
      </c>
      <c r="L9" s="227"/>
      <c r="M9" s="228">
        <f>SUM(M10)</f>
        <v>69.860213674741388</v>
      </c>
      <c r="N9" s="220"/>
    </row>
    <row r="10" spans="2:15" s="20" customFormat="1" ht="90" x14ac:dyDescent="0.2">
      <c r="B10" s="395" t="s">
        <v>293</v>
      </c>
      <c r="C10" s="229">
        <v>20</v>
      </c>
      <c r="D10" s="229"/>
      <c r="E10" s="230">
        <f>C10*100/C17</f>
        <v>34.482758620689658</v>
      </c>
      <c r="F10" s="229"/>
      <c r="G10" s="229">
        <v>35155</v>
      </c>
      <c r="H10" s="229"/>
      <c r="I10" s="230">
        <f>G10*100/G17</f>
        <v>47.272947314633029</v>
      </c>
      <c r="J10" s="229"/>
      <c r="K10" s="229">
        <v>5436336</v>
      </c>
      <c r="L10" s="229"/>
      <c r="M10" s="230">
        <f>K10*100/K17</f>
        <v>69.860213674741388</v>
      </c>
      <c r="N10" s="232"/>
      <c r="O10" s="36"/>
    </row>
    <row r="11" spans="2:15" s="20" customFormat="1" ht="67.900000000000006" customHeight="1" x14ac:dyDescent="0.2">
      <c r="B11" s="379" t="s">
        <v>117</v>
      </c>
      <c r="C11" s="226">
        <f>SUM(C12:C14)</f>
        <v>30</v>
      </c>
      <c r="D11" s="233"/>
      <c r="E11" s="226">
        <f>SUM(E12:E14)</f>
        <v>51.724137931034484</v>
      </c>
      <c r="F11" s="233"/>
      <c r="G11" s="226">
        <f>SUM(G12:G14)</f>
        <v>33238</v>
      </c>
      <c r="H11" s="233"/>
      <c r="I11" s="226">
        <f>SUM(I12:I14)</f>
        <v>44.695156388672238</v>
      </c>
      <c r="J11" s="233"/>
      <c r="K11" s="226">
        <f>SUM(K12:K14)</f>
        <v>2172142</v>
      </c>
      <c r="L11" s="233"/>
      <c r="M11" s="226">
        <f>SUM(M12:M14)</f>
        <v>27.913341679373772</v>
      </c>
      <c r="N11" s="232"/>
      <c r="O11" s="36"/>
    </row>
    <row r="12" spans="2:15" s="20" customFormat="1" ht="15" x14ac:dyDescent="0.2">
      <c r="B12" s="378" t="s">
        <v>294</v>
      </c>
      <c r="C12" s="229">
        <v>25</v>
      </c>
      <c r="D12" s="235"/>
      <c r="E12" s="230">
        <f>C12*100/C17</f>
        <v>43.103448275862071</v>
      </c>
      <c r="F12" s="235"/>
      <c r="G12" s="229">
        <v>30317</v>
      </c>
      <c r="H12" s="235"/>
      <c r="I12" s="230">
        <f>G12*100/G17</f>
        <v>40.767286125379876</v>
      </c>
      <c r="J12" s="235"/>
      <c r="K12" s="229">
        <v>1826630</v>
      </c>
      <c r="L12" s="229"/>
      <c r="M12" s="230">
        <f>K12*100/K17</f>
        <v>23.473302993908554</v>
      </c>
      <c r="N12" s="232"/>
      <c r="O12" s="36"/>
    </row>
    <row r="13" spans="2:15" s="20" customFormat="1" ht="15" x14ac:dyDescent="0.2">
      <c r="B13" s="378" t="s">
        <v>295</v>
      </c>
      <c r="C13" s="229">
        <v>1</v>
      </c>
      <c r="D13" s="235"/>
      <c r="E13" s="230">
        <f>C13*100/C17</f>
        <v>1.7241379310344827</v>
      </c>
      <c r="F13" s="235"/>
      <c r="G13" s="229">
        <v>240</v>
      </c>
      <c r="H13" s="235"/>
      <c r="I13" s="230">
        <f>G13*100/G17</f>
        <v>0.32272812844579513</v>
      </c>
      <c r="J13" s="235"/>
      <c r="K13" s="229">
        <v>17280</v>
      </c>
      <c r="L13" s="229"/>
      <c r="M13" s="230">
        <f>K13*100/K17</f>
        <v>0.22205847694100056</v>
      </c>
      <c r="N13" s="232"/>
      <c r="O13" s="36"/>
    </row>
    <row r="14" spans="2:15" s="20" customFormat="1" ht="15" x14ac:dyDescent="0.2">
      <c r="B14" s="378" t="s">
        <v>292</v>
      </c>
      <c r="C14" s="229">
        <v>4</v>
      </c>
      <c r="D14" s="235"/>
      <c r="E14" s="230">
        <f>C14*100/C17</f>
        <v>6.8965517241379306</v>
      </c>
      <c r="F14" s="235"/>
      <c r="G14" s="229">
        <v>2681</v>
      </c>
      <c r="H14" s="235"/>
      <c r="I14" s="230">
        <f>G14*100/G17</f>
        <v>3.6051421348465698</v>
      </c>
      <c r="J14" s="235"/>
      <c r="K14" s="229">
        <v>328232</v>
      </c>
      <c r="L14" s="229"/>
      <c r="M14" s="230">
        <f>K14*100/K17</f>
        <v>4.2179802085242182</v>
      </c>
      <c r="N14" s="232"/>
      <c r="O14" s="36"/>
    </row>
    <row r="15" spans="2:15" s="36" customFormat="1" ht="40.5" customHeight="1" x14ac:dyDescent="0.2">
      <c r="B15" s="379" t="s">
        <v>119</v>
      </c>
      <c r="C15" s="226">
        <f>SUM(C16)</f>
        <v>7</v>
      </c>
      <c r="D15" s="233"/>
      <c r="E15" s="234">
        <f>SUM(E16)</f>
        <v>12.068965517241379</v>
      </c>
      <c r="F15" s="233"/>
      <c r="G15" s="226">
        <f>SUM(G16)</f>
        <v>5083</v>
      </c>
      <c r="H15" s="233"/>
      <c r="I15" s="234">
        <f>SUM(I16)</f>
        <v>6.8351128203749028</v>
      </c>
      <c r="J15" s="233"/>
      <c r="K15" s="674">
        <f>SUM(K16)</f>
        <v>116296</v>
      </c>
      <c r="L15" s="226"/>
      <c r="M15" s="234">
        <f>SUM(M16)</f>
        <v>1.4944741107830208</v>
      </c>
    </row>
    <row r="16" spans="2:15" ht="30" x14ac:dyDescent="0.2">
      <c r="B16" s="395" t="s">
        <v>296</v>
      </c>
      <c r="C16" s="229">
        <v>7</v>
      </c>
      <c r="D16" s="235"/>
      <c r="E16" s="230">
        <f>C16*100/C17</f>
        <v>12.068965517241379</v>
      </c>
      <c r="F16" s="235"/>
      <c r="G16" s="229">
        <v>5083</v>
      </c>
      <c r="H16" s="235"/>
      <c r="I16" s="230">
        <f>G16*100/G17</f>
        <v>6.8351128203749028</v>
      </c>
      <c r="J16" s="235"/>
      <c r="K16" s="229">
        <v>116296</v>
      </c>
      <c r="L16" s="229"/>
      <c r="M16" s="230">
        <f>K16*100/K17</f>
        <v>1.4944741107830208</v>
      </c>
      <c r="N16" s="20"/>
      <c r="O16" s="20"/>
    </row>
    <row r="17" spans="2:14" ht="30.75" customHeight="1" x14ac:dyDescent="0.2">
      <c r="B17" s="380" t="s">
        <v>6</v>
      </c>
      <c r="C17" s="381">
        <f>SUM(C7+C9+C15+C11)</f>
        <v>58</v>
      </c>
      <c r="D17" s="381"/>
      <c r="E17" s="907">
        <f>SUM(E7+E9+E15+E11)</f>
        <v>100</v>
      </c>
      <c r="F17" s="908"/>
      <c r="G17" s="381">
        <f>SUM(G7+G9+G15+G11)</f>
        <v>74366</v>
      </c>
      <c r="H17" s="381"/>
      <c r="I17" s="907">
        <f>SUM(I7+I9+I15+I11)</f>
        <v>100</v>
      </c>
      <c r="J17" s="908"/>
      <c r="K17" s="381">
        <f>SUM(K7+K9+K15+K11)</f>
        <v>7781734</v>
      </c>
      <c r="L17" s="381"/>
      <c r="M17" s="907">
        <f>SUM(M7+M9+M15+M11)</f>
        <v>100</v>
      </c>
      <c r="N17" s="909"/>
    </row>
    <row r="18" spans="2:14" s="1" customFormat="1" ht="30" customHeight="1" x14ac:dyDescent="0.2">
      <c r="B18" s="5" t="s">
        <v>216</v>
      </c>
      <c r="C18" s="6"/>
      <c r="D18" s="6"/>
      <c r="E18" s="6"/>
      <c r="F18" s="6"/>
      <c r="G18" s="7"/>
      <c r="H18" s="6"/>
      <c r="I18" s="6"/>
    </row>
    <row r="19" spans="2:14" s="1" customFormat="1" ht="19.899999999999999" customHeight="1" x14ac:dyDescent="0.2">
      <c r="B19" s="10" t="s">
        <v>256</v>
      </c>
      <c r="C19" s="11"/>
      <c r="D19" s="11"/>
      <c r="E19" s="11"/>
      <c r="F19" s="11"/>
      <c r="G19" s="11"/>
      <c r="H19" s="12"/>
      <c r="I19" s="12"/>
      <c r="J19" s="12"/>
      <c r="K19" s="12"/>
    </row>
    <row r="20" spans="2:14" s="1" customFormat="1" ht="25.15" customHeight="1" x14ac:dyDescent="0.2">
      <c r="B20" s="16" t="s">
        <v>245</v>
      </c>
      <c r="D20" s="17"/>
      <c r="E20" s="18"/>
      <c r="F20" s="17"/>
      <c r="G20" s="19"/>
      <c r="H20" s="20"/>
      <c r="I20" s="21"/>
      <c r="J20" s="21"/>
    </row>
    <row r="21" spans="2:14" s="20" customFormat="1" ht="40.9" customHeight="1" x14ac:dyDescent="0.2"/>
    <row r="22" spans="2:14" ht="24" customHeight="1" x14ac:dyDescent="0.2">
      <c r="B22" s="40"/>
    </row>
    <row r="23" spans="2:14" x14ac:dyDescent="0.2">
      <c r="B23" s="40"/>
    </row>
    <row r="25" spans="2:14" x14ac:dyDescent="0.2">
      <c r="B25" s="697"/>
      <c r="C25" s="697"/>
      <c r="D25" s="697"/>
      <c r="E25" s="697"/>
      <c r="F25" s="697"/>
      <c r="G25" s="697"/>
      <c r="H25" s="697"/>
      <c r="I25" s="697"/>
      <c r="J25" s="697"/>
      <c r="K25" s="697"/>
      <c r="L25" s="697"/>
      <c r="M25" s="697"/>
      <c r="N25" s="697"/>
    </row>
  </sheetData>
  <mergeCells count="14">
    <mergeCell ref="B25:N25"/>
    <mergeCell ref="B1:N1"/>
    <mergeCell ref="C5:F5"/>
    <mergeCell ref="B5:B6"/>
    <mergeCell ref="G5:J5"/>
    <mergeCell ref="K5:N5"/>
    <mergeCell ref="M6:N6"/>
    <mergeCell ref="B3:N3"/>
    <mergeCell ref="B4:N4"/>
    <mergeCell ref="C6:D6"/>
    <mergeCell ref="E6:F6"/>
    <mergeCell ref="G6:H6"/>
    <mergeCell ref="I6:J6"/>
    <mergeCell ref="K6:L6"/>
  </mergeCells>
  <phoneticPr fontId="2" type="noConversion"/>
  <printOptions horizontalCentered="1" verticalCentered="1"/>
  <pageMargins left="0" right="0" top="0" bottom="0" header="0" footer="0"/>
  <pageSetup paperSize="9" scale="56" orientation="landscape" r:id="rId1"/>
  <headerFooter alignWithMargins="0"/>
  <ignoredErrors>
    <ignoredError sqref="F10 J10 L10:M10 H1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B1:AL46"/>
  <sheetViews>
    <sheetView showGridLines="0" topLeftCell="A4" zoomScale="55" zoomScaleNormal="55" workbookViewId="0">
      <selection activeCell="L16" sqref="L16"/>
    </sheetView>
  </sheetViews>
  <sheetFormatPr baseColWidth="10" defaultColWidth="11.5703125" defaultRowHeight="12.75" x14ac:dyDescent="0.2"/>
  <cols>
    <col min="1" max="1" width="11.5703125" style="38"/>
    <col min="2" max="2" width="38.7109375" style="38" customWidth="1"/>
    <col min="3" max="3" width="13.7109375" style="38" customWidth="1"/>
    <col min="4" max="4" width="5.7109375" style="38" customWidth="1"/>
    <col min="5" max="5" width="11.5703125" style="38"/>
    <col min="6" max="6" width="5.7109375" style="38" customWidth="1"/>
    <col min="7" max="7" width="19.5703125" style="38" customWidth="1"/>
    <col min="8" max="8" width="5.5703125" style="38" customWidth="1"/>
    <col min="9" max="9" width="15.7109375" style="38" customWidth="1"/>
    <col min="10" max="10" width="10.7109375" style="38" customWidth="1"/>
    <col min="11" max="11" width="22.7109375" style="38" customWidth="1"/>
    <col min="12" max="12" width="5.7109375" style="38" customWidth="1"/>
    <col min="13" max="13" width="15.7109375" style="38" customWidth="1"/>
    <col min="14" max="14" width="5.7109375" style="38" customWidth="1"/>
    <col min="15" max="15" width="3.5703125" style="38" customWidth="1"/>
    <col min="16" max="16" width="11.5703125" style="38"/>
    <col min="17" max="17" width="19" style="38" customWidth="1"/>
    <col min="18" max="16384" width="11.5703125" style="38"/>
  </cols>
  <sheetData>
    <row r="1" spans="2:38" ht="29.25" customHeight="1" x14ac:dyDescent="0.2">
      <c r="B1" s="698" t="s">
        <v>7</v>
      </c>
      <c r="C1" s="698"/>
      <c r="D1" s="698"/>
      <c r="E1" s="698"/>
      <c r="F1" s="698"/>
      <c r="G1" s="698"/>
      <c r="H1" s="698"/>
      <c r="I1" s="698"/>
      <c r="J1" s="698"/>
      <c r="K1" s="698"/>
      <c r="L1" s="698"/>
      <c r="M1" s="698"/>
      <c r="N1" s="698"/>
      <c r="Q1" s="668"/>
      <c r="R1" s="668"/>
    </row>
    <row r="2" spans="2:38" ht="30" customHeight="1" x14ac:dyDescent="0.2">
      <c r="B2" s="31" t="s">
        <v>145</v>
      </c>
      <c r="C2" s="31"/>
      <c r="D2" s="31"/>
      <c r="E2" s="31"/>
      <c r="F2" s="31"/>
      <c r="G2" s="31"/>
      <c r="H2" s="31"/>
      <c r="I2" s="31"/>
      <c r="J2" s="31"/>
      <c r="K2" s="31"/>
      <c r="L2" s="31"/>
      <c r="M2" s="31"/>
      <c r="N2" s="31"/>
      <c r="Q2" s="669"/>
      <c r="R2" s="669"/>
    </row>
    <row r="3" spans="2:38" ht="42" customHeight="1" x14ac:dyDescent="0.2">
      <c r="B3" s="704" t="s">
        <v>180</v>
      </c>
      <c r="C3" s="704"/>
      <c r="D3" s="704"/>
      <c r="E3" s="704"/>
      <c r="F3" s="704"/>
      <c r="G3" s="704"/>
      <c r="H3" s="704"/>
      <c r="I3" s="704"/>
      <c r="J3" s="704"/>
      <c r="K3" s="704"/>
      <c r="L3" s="704"/>
      <c r="M3" s="704"/>
      <c r="N3" s="704"/>
      <c r="Q3" s="669"/>
      <c r="R3" s="669"/>
    </row>
    <row r="4" spans="2:38" ht="30" customHeight="1" x14ac:dyDescent="0.2">
      <c r="B4" s="698">
        <v>2025</v>
      </c>
      <c r="C4" s="698"/>
      <c r="D4" s="698"/>
      <c r="E4" s="698"/>
      <c r="F4" s="698"/>
      <c r="G4" s="698"/>
      <c r="H4" s="698"/>
      <c r="I4" s="698"/>
      <c r="J4" s="698"/>
      <c r="K4" s="698"/>
      <c r="L4" s="698"/>
      <c r="M4" s="698"/>
      <c r="N4" s="698"/>
      <c r="Q4" s="669"/>
      <c r="R4" s="669"/>
    </row>
    <row r="5" spans="2:38" s="41" customFormat="1" ht="39" customHeight="1" x14ac:dyDescent="0.2">
      <c r="B5" s="709" t="s">
        <v>172</v>
      </c>
      <c r="C5" s="710" t="s">
        <v>2</v>
      </c>
      <c r="D5" s="711"/>
      <c r="E5" s="711"/>
      <c r="F5" s="712"/>
      <c r="G5" s="710" t="s">
        <v>15</v>
      </c>
      <c r="H5" s="711"/>
      <c r="I5" s="711"/>
      <c r="J5" s="712"/>
      <c r="K5" s="711" t="s">
        <v>12</v>
      </c>
      <c r="L5" s="711"/>
      <c r="M5" s="711"/>
      <c r="N5" s="711"/>
      <c r="O5" s="38"/>
      <c r="P5" s="38"/>
      <c r="Q5" s="669"/>
      <c r="R5" s="669"/>
    </row>
    <row r="6" spans="2:38" s="41" customFormat="1" ht="39" customHeight="1" x14ac:dyDescent="0.2">
      <c r="B6" s="709"/>
      <c r="C6" s="708" t="s">
        <v>63</v>
      </c>
      <c r="D6" s="708"/>
      <c r="E6" s="713" t="s">
        <v>5</v>
      </c>
      <c r="F6" s="714"/>
      <c r="G6" s="708" t="s">
        <v>82</v>
      </c>
      <c r="H6" s="708"/>
      <c r="I6" s="713" t="s">
        <v>5</v>
      </c>
      <c r="J6" s="714"/>
      <c r="K6" s="708" t="s">
        <v>83</v>
      </c>
      <c r="L6" s="708"/>
      <c r="M6" s="708" t="s">
        <v>5</v>
      </c>
      <c r="N6" s="708"/>
      <c r="O6" s="38"/>
      <c r="P6" s="38"/>
      <c r="Q6" s="669"/>
      <c r="R6" s="669"/>
    </row>
    <row r="7" spans="2:38" ht="40.9" customHeight="1" x14ac:dyDescent="0.2">
      <c r="B7" s="388" t="s">
        <v>97</v>
      </c>
      <c r="C7" s="236">
        <v>9</v>
      </c>
      <c r="D7" s="42"/>
      <c r="E7" s="237">
        <f>C7*100/C16</f>
        <v>15.517241379310345</v>
      </c>
      <c r="F7" s="42"/>
      <c r="G7" s="236">
        <v>1432</v>
      </c>
      <c r="H7" s="42"/>
      <c r="I7" s="237">
        <f>G7*100/G16</f>
        <v>1.9256111663932443</v>
      </c>
      <c r="J7" s="42"/>
      <c r="K7" s="236">
        <v>11356</v>
      </c>
      <c r="L7" s="42"/>
      <c r="M7" s="237">
        <f>K7*100/K16</f>
        <v>0.1459314851934029</v>
      </c>
      <c r="N7" s="21"/>
      <c r="Q7" s="669"/>
      <c r="R7" s="669"/>
    </row>
    <row r="8" spans="2:38" ht="30" customHeight="1" x14ac:dyDescent="0.2">
      <c r="B8" s="388" t="s">
        <v>98</v>
      </c>
      <c r="C8" s="236">
        <v>13</v>
      </c>
      <c r="D8" s="43"/>
      <c r="E8" s="237">
        <f>C8*100/C16</f>
        <v>22.413793103448278</v>
      </c>
      <c r="F8" s="42"/>
      <c r="G8" s="236">
        <v>14239</v>
      </c>
      <c r="H8" s="43"/>
      <c r="I8" s="237">
        <f>G8*100/G16</f>
        <v>19.147190920581988</v>
      </c>
      <c r="J8" s="42"/>
      <c r="K8" s="236">
        <v>227824</v>
      </c>
      <c r="L8" s="43"/>
      <c r="M8" s="237">
        <f>K8*100/K16</f>
        <v>2.9276765307063952</v>
      </c>
      <c r="N8" s="21"/>
      <c r="Q8" s="669"/>
      <c r="R8" s="669"/>
    </row>
    <row r="9" spans="2:38" ht="30" customHeight="1" x14ac:dyDescent="0.2">
      <c r="B9" s="388" t="s">
        <v>99</v>
      </c>
      <c r="C9" s="236">
        <v>8</v>
      </c>
      <c r="D9" s="43"/>
      <c r="E9" s="237">
        <f>C9*100/C16</f>
        <v>13.793103448275861</v>
      </c>
      <c r="F9" s="42"/>
      <c r="G9" s="236">
        <v>582</v>
      </c>
      <c r="H9" s="43"/>
      <c r="I9" s="237">
        <f>G9*100/G16</f>
        <v>0.78261571148105313</v>
      </c>
      <c r="J9" s="42"/>
      <c r="K9" s="236">
        <v>10440</v>
      </c>
      <c r="L9" s="43"/>
      <c r="M9" s="237">
        <f>K9*100/K16</f>
        <v>0.13416032981852116</v>
      </c>
      <c r="N9" s="21"/>
      <c r="Q9" s="669"/>
      <c r="R9" s="669"/>
    </row>
    <row r="10" spans="2:38" ht="30" customHeight="1" x14ac:dyDescent="0.2">
      <c r="B10" s="388" t="s">
        <v>100</v>
      </c>
      <c r="C10" s="236">
        <v>8</v>
      </c>
      <c r="D10" s="43"/>
      <c r="E10" s="237">
        <f>C10*100/C16</f>
        <v>13.793103448275861</v>
      </c>
      <c r="F10" s="42"/>
      <c r="G10" s="236">
        <v>4388</v>
      </c>
      <c r="H10" s="43"/>
      <c r="I10" s="237">
        <f>G10*100/G16</f>
        <v>5.9005459484172871</v>
      </c>
      <c r="J10" s="42"/>
      <c r="K10" s="236">
        <v>125760</v>
      </c>
      <c r="L10" s="43"/>
      <c r="M10" s="237">
        <f>K10*100/K16</f>
        <v>1.6160922488483929</v>
      </c>
      <c r="N10" s="21"/>
      <c r="Q10" s="669"/>
      <c r="R10" s="669"/>
    </row>
    <row r="11" spans="2:38" ht="30" customHeight="1" x14ac:dyDescent="0.2">
      <c r="B11" s="388" t="s">
        <v>101</v>
      </c>
      <c r="C11" s="236">
        <v>13</v>
      </c>
      <c r="D11" s="43"/>
      <c r="E11" s="237">
        <f>C11*100/C16</f>
        <v>22.413793103448278</v>
      </c>
      <c r="F11" s="42"/>
      <c r="G11" s="236">
        <v>18607</v>
      </c>
      <c r="H11" s="43"/>
      <c r="I11" s="237">
        <f>G11*100/G16</f>
        <v>25.020842858295456</v>
      </c>
      <c r="J11" s="42"/>
      <c r="K11" s="236">
        <v>1334458</v>
      </c>
      <c r="L11" s="43"/>
      <c r="M11" s="237">
        <f>K11*100/K16</f>
        <v>17.148594387831814</v>
      </c>
      <c r="N11" s="21"/>
      <c r="Q11" s="669"/>
      <c r="R11" s="669"/>
    </row>
    <row r="12" spans="2:38" ht="30" customHeight="1" x14ac:dyDescent="0.2">
      <c r="B12" s="388" t="s">
        <v>166</v>
      </c>
      <c r="C12" s="236">
        <v>4</v>
      </c>
      <c r="D12" s="43"/>
      <c r="E12" s="237">
        <f>C12*100/C16</f>
        <v>6.8965517241379306</v>
      </c>
      <c r="F12" s="42"/>
      <c r="G12" s="236">
        <v>31156</v>
      </c>
      <c r="H12" s="43"/>
      <c r="I12" s="237">
        <f>G12*100/G16</f>
        <v>41.895489874404973</v>
      </c>
      <c r="J12" s="42"/>
      <c r="K12" s="236">
        <v>4498224</v>
      </c>
      <c r="L12" s="43"/>
      <c r="M12" s="237">
        <f>K12*100/K16</f>
        <v>57.804905693255513</v>
      </c>
      <c r="N12" s="21"/>
      <c r="Q12" s="669"/>
      <c r="R12" s="669"/>
    </row>
    <row r="13" spans="2:38" ht="30" customHeight="1" x14ac:dyDescent="0.2">
      <c r="B13" s="388" t="s">
        <v>167</v>
      </c>
      <c r="C13" s="236">
        <v>2</v>
      </c>
      <c r="D13" s="43"/>
      <c r="E13" s="237">
        <f>C13*100/C16</f>
        <v>3.4482758620689653</v>
      </c>
      <c r="F13" s="42"/>
      <c r="G13" s="236">
        <v>122</v>
      </c>
      <c r="H13" s="43"/>
      <c r="I13" s="237">
        <f>G13*100/G16</f>
        <v>0.16405346529327919</v>
      </c>
      <c r="J13" s="42"/>
      <c r="K13" s="236">
        <v>303528</v>
      </c>
      <c r="L13" s="43"/>
      <c r="M13" s="237">
        <f>K13*100/K16</f>
        <v>3.9005188303789362</v>
      </c>
      <c r="N13" s="21"/>
      <c r="Q13" s="669"/>
      <c r="R13" s="669"/>
    </row>
    <row r="14" spans="2:38" ht="30" customHeight="1" x14ac:dyDescent="0.2">
      <c r="B14" s="388" t="s">
        <v>168</v>
      </c>
      <c r="C14" s="236">
        <v>1</v>
      </c>
      <c r="D14" s="43"/>
      <c r="E14" s="237">
        <f>C14*100/C16</f>
        <v>1.7241379310344827</v>
      </c>
      <c r="F14" s="42"/>
      <c r="G14" s="236">
        <v>3840</v>
      </c>
      <c r="H14" s="43"/>
      <c r="I14" s="237">
        <f>G14*100/G16</f>
        <v>5.163650055132722</v>
      </c>
      <c r="J14" s="42"/>
      <c r="K14" s="236">
        <v>1270144</v>
      </c>
      <c r="L14" s="43"/>
      <c r="M14" s="237">
        <f>K14*100/K16</f>
        <v>16.322120493967027</v>
      </c>
      <c r="N14" s="21"/>
      <c r="Q14" s="669"/>
      <c r="R14" s="669"/>
    </row>
    <row r="15" spans="2:38" ht="16.899999999999999" customHeight="1" x14ac:dyDescent="0.2">
      <c r="B15" s="388"/>
      <c r="C15" s="43"/>
      <c r="D15" s="43"/>
      <c r="E15" s="238"/>
      <c r="F15" s="42"/>
      <c r="G15" s="43"/>
      <c r="H15" s="43"/>
      <c r="I15" s="238"/>
      <c r="J15" s="42"/>
      <c r="K15" s="43" t="s">
        <v>204</v>
      </c>
      <c r="L15" s="43"/>
      <c r="M15" s="238"/>
      <c r="N15" s="21"/>
      <c r="P15" s="44"/>
      <c r="Q15" s="669"/>
      <c r="R15" s="669"/>
      <c r="S15" s="44"/>
      <c r="T15" s="44"/>
      <c r="U15" s="44"/>
      <c r="V15" s="44"/>
      <c r="W15" s="45"/>
      <c r="X15" s="45"/>
      <c r="Y15" s="45"/>
      <c r="Z15" s="45"/>
      <c r="AA15" s="45"/>
      <c r="AB15" s="45"/>
      <c r="AC15" s="45"/>
      <c r="AD15" s="45"/>
      <c r="AE15" s="45"/>
      <c r="AF15" s="45"/>
      <c r="AG15" s="45"/>
      <c r="AH15" s="45"/>
      <c r="AI15" s="45"/>
      <c r="AJ15" s="45"/>
      <c r="AK15" s="45"/>
      <c r="AL15" s="45"/>
    </row>
    <row r="16" spans="2:38" s="41" customFormat="1" ht="36" customHeight="1" x14ac:dyDescent="0.2">
      <c r="B16" s="380" t="s">
        <v>6</v>
      </c>
      <c r="C16" s="383">
        <f>SUM(C7:C15)</f>
        <v>58</v>
      </c>
      <c r="D16" s="383"/>
      <c r="E16" s="384">
        <f>SUM(E7:E15)</f>
        <v>99.999999999999986</v>
      </c>
      <c r="F16" s="385"/>
      <c r="G16" s="383">
        <f>SUM(G7:G15)</f>
        <v>74366</v>
      </c>
      <c r="H16" s="383"/>
      <c r="I16" s="384">
        <f>SUM(I7:I15)</f>
        <v>100</v>
      </c>
      <c r="J16" s="385"/>
      <c r="K16" s="383">
        <f>SUM(K7:K15)</f>
        <v>7781734</v>
      </c>
      <c r="L16" s="386"/>
      <c r="M16" s="384">
        <f>SUM(M7:M15)</f>
        <v>100</v>
      </c>
      <c r="N16" s="387"/>
      <c r="O16" s="38"/>
      <c r="P16" s="44"/>
      <c r="Q16" s="669"/>
      <c r="R16" s="669"/>
      <c r="S16" s="44"/>
      <c r="T16" s="44"/>
      <c r="U16" s="44"/>
      <c r="V16" s="44"/>
      <c r="W16" s="45"/>
      <c r="X16" s="45"/>
      <c r="Y16" s="45"/>
      <c r="Z16" s="45"/>
      <c r="AA16" s="45"/>
      <c r="AB16" s="45"/>
      <c r="AC16" s="45"/>
      <c r="AD16" s="46"/>
      <c r="AE16" s="46"/>
      <c r="AF16" s="46"/>
      <c r="AG16" s="46"/>
      <c r="AH16" s="46"/>
      <c r="AI16" s="46"/>
      <c r="AJ16" s="46"/>
      <c r="AK16" s="46"/>
      <c r="AL16" s="46"/>
    </row>
    <row r="17" spans="2:38" s="1" customFormat="1" ht="30" customHeight="1" x14ac:dyDescent="0.2">
      <c r="B17" s="5" t="s">
        <v>217</v>
      </c>
      <c r="C17" s="6"/>
      <c r="D17" s="6"/>
      <c r="E17" s="6"/>
      <c r="F17" s="6"/>
      <c r="G17" s="7"/>
      <c r="H17" s="6"/>
      <c r="I17" s="6"/>
      <c r="Q17" s="669"/>
      <c r="R17" s="669"/>
    </row>
    <row r="18" spans="2:38" s="1" customFormat="1" ht="19.899999999999999" customHeight="1" x14ac:dyDescent="0.2">
      <c r="B18" s="10" t="s">
        <v>257</v>
      </c>
      <c r="C18" s="11"/>
      <c r="D18" s="11"/>
      <c r="E18" s="11"/>
      <c r="F18" s="11"/>
      <c r="G18" s="11"/>
      <c r="H18" s="12"/>
      <c r="I18" s="12"/>
      <c r="J18" s="12"/>
      <c r="K18" s="12"/>
      <c r="Q18" s="669"/>
      <c r="R18" s="669"/>
      <c r="S18" s="214"/>
    </row>
    <row r="19" spans="2:38" s="1" customFormat="1" ht="25.15" customHeight="1" x14ac:dyDescent="0.2">
      <c r="B19" s="16" t="s">
        <v>245</v>
      </c>
      <c r="D19" s="17"/>
      <c r="E19" s="18"/>
      <c r="F19" s="17"/>
      <c r="G19" s="19"/>
      <c r="H19" s="20"/>
      <c r="I19" s="21"/>
      <c r="J19" s="21"/>
      <c r="Q19" s="669"/>
      <c r="R19" s="669"/>
      <c r="S19" s="214"/>
    </row>
    <row r="20" spans="2:38" s="20" customFormat="1" ht="40.9" customHeight="1" x14ac:dyDescent="0.2">
      <c r="B20" s="697"/>
      <c r="C20" s="697"/>
      <c r="D20" s="697"/>
      <c r="E20" s="697"/>
      <c r="F20" s="697"/>
      <c r="G20" s="697"/>
      <c r="H20" s="697"/>
      <c r="I20" s="697"/>
      <c r="J20" s="697"/>
      <c r="K20" s="697"/>
      <c r="L20" s="697"/>
      <c r="M20" s="697"/>
      <c r="N20" s="697"/>
      <c r="Q20" s="669"/>
      <c r="R20" s="669"/>
      <c r="T20" s="677"/>
      <c r="U20" s="677"/>
    </row>
    <row r="21" spans="2:38" x14ac:dyDescent="0.2">
      <c r="P21" s="44"/>
      <c r="Q21" s="669"/>
      <c r="R21" s="669"/>
      <c r="T21" s="45"/>
      <c r="U21" s="45"/>
      <c r="V21" s="45"/>
      <c r="W21" s="45"/>
      <c r="X21" s="45"/>
      <c r="Y21" s="45"/>
      <c r="Z21" s="45"/>
      <c r="AA21" s="45"/>
      <c r="AB21" s="45"/>
      <c r="AC21" s="45"/>
      <c r="AD21" s="45"/>
      <c r="AE21" s="45"/>
      <c r="AF21" s="45"/>
      <c r="AG21" s="45"/>
      <c r="AH21" s="45"/>
      <c r="AI21" s="45"/>
      <c r="AJ21" s="45"/>
      <c r="AK21" s="45"/>
      <c r="AL21" s="45"/>
    </row>
    <row r="22" spans="2:38" ht="24.6" customHeight="1" x14ac:dyDescent="0.2">
      <c r="P22" s="44"/>
      <c r="Q22" s="669"/>
      <c r="R22" s="669"/>
      <c r="T22" s="45"/>
      <c r="U22" s="45"/>
      <c r="V22" s="45"/>
      <c r="W22" s="45"/>
      <c r="X22" s="45"/>
      <c r="Y22" s="45"/>
      <c r="Z22" s="45"/>
      <c r="AA22" s="45"/>
      <c r="AB22" s="45"/>
      <c r="AC22" s="45"/>
      <c r="AD22" s="45"/>
      <c r="AE22" s="45"/>
      <c r="AF22" s="45"/>
      <c r="AG22" s="45"/>
      <c r="AH22" s="45"/>
      <c r="AI22" s="45"/>
      <c r="AJ22" s="45"/>
      <c r="AK22" s="45"/>
      <c r="AL22" s="45"/>
    </row>
    <row r="23" spans="2:38" x14ac:dyDescent="0.2">
      <c r="P23" s="44"/>
      <c r="Q23" s="669"/>
      <c r="R23" s="669"/>
      <c r="T23" s="45"/>
      <c r="U23" s="45"/>
      <c r="V23" s="45"/>
      <c r="W23" s="45"/>
      <c r="X23" s="45"/>
      <c r="Y23" s="45"/>
      <c r="Z23" s="45"/>
      <c r="AA23" s="45"/>
      <c r="AB23" s="45"/>
      <c r="AC23" s="45"/>
      <c r="AD23" s="45"/>
      <c r="AE23" s="45"/>
      <c r="AF23" s="45"/>
      <c r="AG23" s="45"/>
      <c r="AH23" s="45"/>
      <c r="AI23" s="45"/>
      <c r="AJ23" s="45"/>
      <c r="AK23" s="45"/>
      <c r="AL23" s="45"/>
    </row>
    <row r="24" spans="2:38" x14ac:dyDescent="0.2">
      <c r="P24" s="44"/>
      <c r="Q24" s="669"/>
      <c r="R24" s="669"/>
      <c r="T24" s="45"/>
      <c r="U24" s="45"/>
      <c r="V24" s="45"/>
      <c r="W24" s="45"/>
      <c r="X24" s="45"/>
      <c r="Y24" s="45"/>
      <c r="Z24" s="45"/>
      <c r="AA24" s="45"/>
      <c r="AB24" s="45"/>
      <c r="AC24" s="45"/>
      <c r="AD24" s="45"/>
      <c r="AE24" s="45"/>
      <c r="AF24" s="45"/>
      <c r="AG24" s="45"/>
      <c r="AH24" s="45"/>
      <c r="AI24" s="45"/>
      <c r="AJ24" s="45"/>
      <c r="AK24" s="45"/>
      <c r="AL24" s="45"/>
    </row>
    <row r="25" spans="2:38" x14ac:dyDescent="0.2">
      <c r="P25" s="44"/>
      <c r="Q25" s="669"/>
      <c r="R25" s="669"/>
      <c r="T25" s="45"/>
      <c r="U25" s="45"/>
      <c r="V25" s="45"/>
      <c r="W25" s="45"/>
      <c r="X25" s="45"/>
      <c r="Y25" s="45"/>
      <c r="Z25" s="45"/>
      <c r="AA25" s="45"/>
      <c r="AB25" s="45"/>
      <c r="AC25" s="45"/>
      <c r="AD25" s="45"/>
      <c r="AE25" s="45"/>
      <c r="AF25" s="45"/>
      <c r="AG25" s="45"/>
      <c r="AH25" s="45"/>
      <c r="AI25" s="45"/>
      <c r="AJ25" s="45"/>
      <c r="AK25" s="45"/>
      <c r="AL25" s="45"/>
    </row>
    <row r="26" spans="2:38" x14ac:dyDescent="0.2">
      <c r="P26" s="44"/>
      <c r="Q26" s="45"/>
      <c r="R26" s="45"/>
      <c r="T26" s="45"/>
      <c r="U26" s="45"/>
      <c r="V26" s="45"/>
      <c r="W26" s="45"/>
      <c r="X26" s="45"/>
      <c r="Y26" s="45"/>
      <c r="Z26" s="45"/>
      <c r="AA26" s="45"/>
      <c r="AB26" s="45"/>
      <c r="AC26" s="45"/>
      <c r="AD26" s="45"/>
      <c r="AE26" s="45"/>
      <c r="AF26" s="45"/>
      <c r="AG26" s="45"/>
      <c r="AH26" s="45"/>
      <c r="AI26" s="45"/>
      <c r="AJ26" s="45"/>
      <c r="AK26" s="45"/>
      <c r="AL26" s="45"/>
    </row>
    <row r="27" spans="2:38" x14ac:dyDescent="0.2">
      <c r="P27" s="44"/>
      <c r="Q27" s="45"/>
      <c r="R27" s="45"/>
      <c r="T27" s="45"/>
      <c r="U27" s="45"/>
      <c r="V27" s="45"/>
      <c r="W27" s="45"/>
      <c r="X27" s="45"/>
      <c r="Y27" s="45"/>
      <c r="Z27" s="45"/>
      <c r="AA27" s="45"/>
      <c r="AB27" s="45"/>
      <c r="AC27" s="45"/>
      <c r="AD27" s="45"/>
      <c r="AE27" s="45"/>
      <c r="AF27" s="45"/>
      <c r="AG27" s="45"/>
      <c r="AH27" s="45"/>
      <c r="AI27" s="45"/>
      <c r="AJ27" s="45"/>
      <c r="AK27" s="45"/>
      <c r="AL27" s="45"/>
    </row>
    <row r="28" spans="2:38" x14ac:dyDescent="0.2">
      <c r="P28" s="44"/>
      <c r="T28" s="45"/>
      <c r="U28" s="45"/>
      <c r="V28" s="45"/>
      <c r="W28" s="45"/>
      <c r="X28" s="45"/>
      <c r="Y28" s="45"/>
      <c r="Z28" s="45"/>
      <c r="AA28" s="45"/>
      <c r="AB28" s="45"/>
      <c r="AC28" s="45"/>
      <c r="AD28" s="45"/>
      <c r="AE28" s="45"/>
      <c r="AF28" s="45"/>
      <c r="AG28" s="45"/>
      <c r="AH28" s="45"/>
      <c r="AI28" s="45"/>
      <c r="AJ28" s="45"/>
      <c r="AK28" s="45"/>
      <c r="AL28" s="45"/>
    </row>
    <row r="29" spans="2:38" x14ac:dyDescent="0.2">
      <c r="P29" s="44"/>
      <c r="T29" s="45"/>
      <c r="U29" s="45"/>
      <c r="V29" s="45"/>
      <c r="W29" s="45"/>
      <c r="X29" s="45"/>
      <c r="Y29" s="45"/>
      <c r="Z29" s="45"/>
      <c r="AA29" s="45"/>
      <c r="AB29" s="45"/>
      <c r="AC29" s="45"/>
      <c r="AD29" s="45"/>
      <c r="AE29" s="45"/>
      <c r="AF29" s="45"/>
      <c r="AG29" s="45"/>
      <c r="AH29" s="45"/>
      <c r="AI29" s="45"/>
      <c r="AJ29" s="45"/>
      <c r="AK29" s="45"/>
      <c r="AL29" s="45"/>
    </row>
    <row r="30" spans="2:38" x14ac:dyDescent="0.2">
      <c r="P30" s="44"/>
      <c r="T30" s="45"/>
      <c r="U30" s="45"/>
      <c r="V30" s="45"/>
      <c r="W30" s="45"/>
      <c r="X30" s="45"/>
      <c r="Y30" s="45"/>
      <c r="Z30" s="45"/>
      <c r="AA30" s="45"/>
      <c r="AB30" s="45"/>
      <c r="AC30" s="45"/>
      <c r="AD30" s="45"/>
      <c r="AE30" s="45"/>
      <c r="AF30" s="45"/>
      <c r="AG30" s="45"/>
      <c r="AH30" s="45"/>
      <c r="AI30" s="45"/>
      <c r="AJ30" s="45"/>
      <c r="AK30" s="45"/>
      <c r="AL30" s="45"/>
    </row>
    <row r="31" spans="2:38" x14ac:dyDescent="0.2">
      <c r="P31" s="44"/>
      <c r="T31" s="45"/>
      <c r="U31" s="45"/>
      <c r="V31" s="45"/>
      <c r="W31" s="45"/>
      <c r="X31" s="45"/>
      <c r="Y31" s="45"/>
      <c r="Z31" s="45"/>
      <c r="AA31" s="45"/>
      <c r="AB31" s="45"/>
      <c r="AC31" s="45"/>
      <c r="AD31" s="45"/>
      <c r="AE31" s="45"/>
      <c r="AF31" s="45"/>
      <c r="AG31" s="45"/>
      <c r="AH31" s="45"/>
      <c r="AI31" s="45"/>
      <c r="AJ31" s="45"/>
      <c r="AK31" s="45"/>
      <c r="AL31" s="45"/>
    </row>
    <row r="32" spans="2:38" x14ac:dyDescent="0.2">
      <c r="P32" s="44"/>
      <c r="T32" s="45"/>
      <c r="U32" s="45"/>
      <c r="V32" s="45"/>
      <c r="W32" s="45"/>
      <c r="X32" s="45"/>
      <c r="Y32" s="45"/>
      <c r="Z32" s="45"/>
      <c r="AA32" s="45"/>
      <c r="AB32" s="45"/>
      <c r="AC32" s="45"/>
      <c r="AD32" s="45"/>
      <c r="AE32" s="45"/>
      <c r="AF32" s="45"/>
      <c r="AG32" s="45"/>
      <c r="AH32" s="45"/>
      <c r="AI32" s="45"/>
      <c r="AJ32" s="45"/>
      <c r="AK32" s="45"/>
      <c r="AL32" s="45"/>
    </row>
    <row r="33" spans="16:38" x14ac:dyDescent="0.2">
      <c r="P33" s="44"/>
      <c r="T33" s="45"/>
      <c r="U33" s="45"/>
      <c r="V33" s="45"/>
      <c r="W33" s="45"/>
      <c r="X33" s="45"/>
      <c r="Y33" s="45"/>
      <c r="Z33" s="45"/>
      <c r="AA33" s="45"/>
      <c r="AB33" s="45"/>
      <c r="AC33" s="45"/>
      <c r="AD33" s="45"/>
      <c r="AE33" s="45"/>
      <c r="AF33" s="45"/>
      <c r="AG33" s="45"/>
      <c r="AH33" s="45"/>
      <c r="AI33" s="45"/>
      <c r="AJ33" s="45"/>
      <c r="AK33" s="45"/>
      <c r="AL33" s="45"/>
    </row>
    <row r="34" spans="16:38" x14ac:dyDescent="0.2">
      <c r="P34" s="44"/>
      <c r="T34" s="45"/>
      <c r="U34" s="45"/>
      <c r="V34" s="45"/>
      <c r="W34" s="45"/>
      <c r="X34" s="45"/>
      <c r="Y34" s="45"/>
      <c r="Z34" s="45"/>
      <c r="AA34" s="45"/>
      <c r="AB34" s="45"/>
      <c r="AC34" s="45"/>
      <c r="AD34" s="45"/>
      <c r="AE34" s="45"/>
      <c r="AF34" s="45"/>
      <c r="AG34" s="45"/>
      <c r="AH34" s="45"/>
      <c r="AI34" s="45"/>
      <c r="AJ34" s="45"/>
      <c r="AK34" s="45"/>
      <c r="AL34" s="45"/>
    </row>
    <row r="35" spans="16:38" x14ac:dyDescent="0.2">
      <c r="P35" s="44"/>
      <c r="T35" s="45"/>
      <c r="U35" s="45"/>
      <c r="V35" s="45"/>
      <c r="W35" s="45"/>
      <c r="X35" s="45"/>
      <c r="Y35" s="45"/>
      <c r="Z35" s="45"/>
      <c r="AA35" s="45"/>
      <c r="AB35" s="45"/>
      <c r="AC35" s="45"/>
      <c r="AD35" s="45"/>
      <c r="AE35" s="45"/>
      <c r="AF35" s="45"/>
      <c r="AG35" s="45"/>
      <c r="AH35" s="45"/>
      <c r="AI35" s="45"/>
      <c r="AJ35" s="45"/>
      <c r="AK35" s="45"/>
      <c r="AL35" s="45"/>
    </row>
    <row r="36" spans="16:38" x14ac:dyDescent="0.2">
      <c r="P36" s="44"/>
      <c r="T36" s="45"/>
      <c r="U36" s="45"/>
      <c r="V36" s="45"/>
      <c r="W36" s="45"/>
      <c r="X36" s="45"/>
      <c r="Y36" s="45"/>
      <c r="Z36" s="45"/>
      <c r="AA36" s="45"/>
      <c r="AB36" s="45"/>
      <c r="AC36" s="45"/>
      <c r="AD36" s="45"/>
      <c r="AE36" s="45"/>
      <c r="AF36" s="45"/>
      <c r="AG36" s="45"/>
      <c r="AH36" s="45"/>
      <c r="AI36" s="45"/>
      <c r="AJ36" s="45"/>
      <c r="AK36" s="45"/>
      <c r="AL36" s="45"/>
    </row>
    <row r="37" spans="16:38" x14ac:dyDescent="0.2">
      <c r="P37" s="44"/>
      <c r="T37" s="45"/>
      <c r="U37" s="45"/>
      <c r="V37" s="45"/>
      <c r="W37" s="45"/>
    </row>
    <row r="38" spans="16:38" x14ac:dyDescent="0.2">
      <c r="P38" s="44"/>
      <c r="T38" s="45"/>
      <c r="U38" s="45"/>
      <c r="V38" s="45"/>
      <c r="W38" s="45"/>
    </row>
    <row r="39" spans="16:38" x14ac:dyDescent="0.2">
      <c r="P39" s="44"/>
      <c r="T39" s="45"/>
      <c r="U39" s="45"/>
      <c r="V39" s="45"/>
      <c r="W39" s="45"/>
    </row>
    <row r="40" spans="16:38" x14ac:dyDescent="0.2">
      <c r="P40" s="44"/>
      <c r="T40" s="45"/>
      <c r="U40" s="45"/>
      <c r="V40" s="44"/>
    </row>
    <row r="41" spans="16:38" x14ac:dyDescent="0.2">
      <c r="P41" s="44"/>
      <c r="T41" s="45"/>
      <c r="U41" s="45"/>
      <c r="V41" s="44"/>
    </row>
    <row r="42" spans="16:38" x14ac:dyDescent="0.2">
      <c r="P42" s="44"/>
      <c r="T42" s="45"/>
      <c r="U42" s="45"/>
      <c r="V42" s="44"/>
    </row>
    <row r="43" spans="16:38" x14ac:dyDescent="0.2">
      <c r="T43" s="45"/>
      <c r="U43" s="45"/>
    </row>
    <row r="44" spans="16:38" x14ac:dyDescent="0.2">
      <c r="T44" s="45"/>
      <c r="U44" s="45"/>
    </row>
    <row r="45" spans="16:38" x14ac:dyDescent="0.2">
      <c r="T45" s="45"/>
      <c r="U45" s="45"/>
    </row>
    <row r="46" spans="16:38" x14ac:dyDescent="0.2">
      <c r="T46" s="45"/>
      <c r="U46" s="45"/>
    </row>
  </sheetData>
  <mergeCells count="14">
    <mergeCell ref="B20:N20"/>
    <mergeCell ref="B1:N1"/>
    <mergeCell ref="B4:N4"/>
    <mergeCell ref="M6:N6"/>
    <mergeCell ref="B3:N3"/>
    <mergeCell ref="B5:B6"/>
    <mergeCell ref="C5:F5"/>
    <mergeCell ref="G5:J5"/>
    <mergeCell ref="K5:N5"/>
    <mergeCell ref="C6:D6"/>
    <mergeCell ref="E6:F6"/>
    <mergeCell ref="G6:H6"/>
    <mergeCell ref="I6:J6"/>
    <mergeCell ref="K6:L6"/>
  </mergeCells>
  <phoneticPr fontId="2" type="noConversion"/>
  <printOptions horizontalCentered="1" verticalCentered="1"/>
  <pageMargins left="0" right="0" top="0" bottom="0" header="0" footer="0"/>
  <pageSetup paperSize="9" scale="55" orientation="landscape" r:id="rId1"/>
  <headerFooter alignWithMargins="0"/>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Z81"/>
  <sheetViews>
    <sheetView showGridLines="0" zoomScale="55" zoomScaleNormal="55" zoomScaleSheetLayoutView="70" workbookViewId="0">
      <selection activeCell="V11" sqref="V11"/>
    </sheetView>
  </sheetViews>
  <sheetFormatPr baseColWidth="10" defaultColWidth="11.42578125" defaultRowHeight="12.75" x14ac:dyDescent="0.2"/>
  <cols>
    <col min="1" max="1" width="3.42578125" style="48" customWidth="1"/>
    <col min="2" max="2" width="38.42578125" style="38" customWidth="1"/>
    <col min="3" max="3" width="12.5703125" style="38" customWidth="1"/>
    <col min="4" max="4" width="3.7109375" style="38" customWidth="1"/>
    <col min="5" max="5" width="14.7109375" style="38" customWidth="1"/>
    <col min="6" max="6" width="3.7109375" style="38" customWidth="1"/>
    <col min="7" max="7" width="15.7109375" style="38" customWidth="1"/>
    <col min="8" max="8" width="3.7109375" style="38" customWidth="1"/>
    <col min="9" max="9" width="15.7109375" style="38" customWidth="1"/>
    <col min="10" max="10" width="3.7109375" style="38" customWidth="1"/>
    <col min="11" max="11" width="20.7109375" style="38" customWidth="1"/>
    <col min="12" max="12" width="3.7109375" style="38" customWidth="1"/>
    <col min="13" max="13" width="20.7109375" style="38" customWidth="1"/>
    <col min="14" max="14" width="3.7109375" style="38" customWidth="1"/>
    <col min="15" max="15" width="3.5703125" style="38" customWidth="1"/>
    <col min="16" max="16384" width="11.42578125" style="38"/>
  </cols>
  <sheetData>
    <row r="1" spans="1:26" ht="30" customHeight="1" x14ac:dyDescent="0.2">
      <c r="B1" s="691" t="s">
        <v>9</v>
      </c>
      <c r="C1" s="691"/>
      <c r="D1" s="691"/>
      <c r="E1" s="691"/>
      <c r="F1" s="691"/>
      <c r="G1" s="691"/>
      <c r="H1" s="691"/>
      <c r="I1" s="691"/>
      <c r="J1" s="691"/>
      <c r="K1" s="691"/>
      <c r="L1" s="691"/>
      <c r="M1" s="691"/>
      <c r="N1" s="691"/>
    </row>
    <row r="2" spans="1:26" ht="30" customHeight="1" x14ac:dyDescent="0.2">
      <c r="B2" s="715" t="s">
        <v>145</v>
      </c>
      <c r="C2" s="715"/>
      <c r="D2" s="715"/>
      <c r="E2" s="715"/>
      <c r="F2" s="715"/>
      <c r="G2" s="715"/>
      <c r="H2" s="715"/>
      <c r="I2" s="715"/>
      <c r="J2" s="715"/>
      <c r="K2" s="715"/>
      <c r="L2" s="715"/>
      <c r="M2" s="715"/>
      <c r="N2" s="715"/>
    </row>
    <row r="3" spans="1:26" ht="59.25" customHeight="1" x14ac:dyDescent="0.2">
      <c r="B3" s="704" t="s">
        <v>246</v>
      </c>
      <c r="C3" s="704"/>
      <c r="D3" s="704"/>
      <c r="E3" s="704"/>
      <c r="F3" s="704"/>
      <c r="G3" s="704"/>
      <c r="H3" s="704"/>
      <c r="I3" s="704"/>
      <c r="J3" s="704"/>
      <c r="K3" s="704"/>
      <c r="L3" s="704"/>
      <c r="M3" s="704"/>
      <c r="N3" s="704"/>
      <c r="R3" s="650"/>
      <c r="S3" s="45"/>
      <c r="T3" s="45"/>
      <c r="U3" s="45"/>
      <c r="V3" s="45"/>
      <c r="W3" s="45"/>
      <c r="X3" s="45"/>
      <c r="Y3" s="45"/>
      <c r="Z3" s="45"/>
    </row>
    <row r="4" spans="1:26" ht="30" customHeight="1" x14ac:dyDescent="0.2">
      <c r="B4" s="698">
        <v>2025</v>
      </c>
      <c r="C4" s="698"/>
      <c r="D4" s="698"/>
      <c r="E4" s="698"/>
      <c r="F4" s="698"/>
      <c r="G4" s="698"/>
      <c r="H4" s="698"/>
      <c r="I4" s="698"/>
      <c r="J4" s="698"/>
      <c r="K4" s="698"/>
      <c r="L4" s="698"/>
      <c r="M4" s="698"/>
      <c r="N4" s="698"/>
      <c r="R4" s="650"/>
      <c r="S4" s="45"/>
      <c r="T4" s="45"/>
      <c r="U4" s="45"/>
      <c r="V4" s="45"/>
      <c r="W4" s="45"/>
      <c r="X4" s="45"/>
      <c r="Y4" s="45"/>
      <c r="Z4" s="45"/>
    </row>
    <row r="5" spans="1:26" ht="56.25" customHeight="1" x14ac:dyDescent="0.2">
      <c r="B5" s="709" t="s">
        <v>153</v>
      </c>
      <c r="C5" s="712" t="s">
        <v>2</v>
      </c>
      <c r="D5" s="720"/>
      <c r="E5" s="720"/>
      <c r="F5" s="720"/>
      <c r="G5" s="718" t="s">
        <v>81</v>
      </c>
      <c r="H5" s="718"/>
      <c r="I5" s="718"/>
      <c r="J5" s="718"/>
      <c r="K5" s="718" t="s">
        <v>61</v>
      </c>
      <c r="L5" s="718"/>
      <c r="M5" s="718"/>
      <c r="N5" s="719"/>
      <c r="R5" s="650"/>
      <c r="S5" s="45"/>
      <c r="T5" s="45"/>
      <c r="U5" s="45"/>
      <c r="V5" s="45"/>
      <c r="W5" s="45"/>
      <c r="X5" s="45"/>
      <c r="Y5" s="45"/>
      <c r="Z5" s="45"/>
    </row>
    <row r="6" spans="1:26" ht="45" customHeight="1" x14ac:dyDescent="0.2">
      <c r="B6" s="709"/>
      <c r="C6" s="721" t="s">
        <v>120</v>
      </c>
      <c r="D6" s="721"/>
      <c r="E6" s="708" t="s">
        <v>5</v>
      </c>
      <c r="F6" s="708"/>
      <c r="G6" s="716" t="s">
        <v>120</v>
      </c>
      <c r="H6" s="717"/>
      <c r="I6" s="713" t="s">
        <v>5</v>
      </c>
      <c r="J6" s="714"/>
      <c r="K6" s="721" t="s">
        <v>120</v>
      </c>
      <c r="L6" s="721"/>
      <c r="M6" s="708" t="s">
        <v>5</v>
      </c>
      <c r="N6" s="708"/>
      <c r="R6" s="650"/>
      <c r="S6" s="45"/>
      <c r="T6" s="45"/>
      <c r="U6" s="45"/>
      <c r="V6" s="45"/>
      <c r="W6" s="45"/>
      <c r="X6" s="45"/>
      <c r="Y6" s="45"/>
      <c r="Z6" s="45"/>
    </row>
    <row r="7" spans="1:26" ht="51.75" customHeight="1" x14ac:dyDescent="0.2">
      <c r="B7" s="378" t="s">
        <v>173</v>
      </c>
      <c r="C7" s="49">
        <v>15</v>
      </c>
      <c r="D7" s="49"/>
      <c r="E7" s="239">
        <f>C7*100/C9</f>
        <v>25.862068965517242</v>
      </c>
      <c r="F7" s="49"/>
      <c r="G7" s="49">
        <v>1983</v>
      </c>
      <c r="H7" s="49"/>
      <c r="I7" s="239">
        <f>G7*100/G9</f>
        <v>2.6665411612833823</v>
      </c>
      <c r="J7" s="49"/>
      <c r="K7" s="49">
        <v>229768</v>
      </c>
      <c r="L7" s="49"/>
      <c r="M7" s="239">
        <f>K7*100/K9</f>
        <v>2.9526581093622579</v>
      </c>
      <c r="R7" s="52"/>
    </row>
    <row r="8" spans="1:26" ht="51.75" customHeight="1" x14ac:dyDescent="0.2">
      <c r="B8" s="378" t="s">
        <v>174</v>
      </c>
      <c r="C8" s="49">
        <v>43</v>
      </c>
      <c r="D8" s="49"/>
      <c r="E8" s="239">
        <f>C8*100/C9</f>
        <v>74.137931034482762</v>
      </c>
      <c r="F8" s="49"/>
      <c r="G8" s="49">
        <v>72383</v>
      </c>
      <c r="H8" s="49"/>
      <c r="I8" s="239">
        <f>G8*100/G9</f>
        <v>97.333458838716624</v>
      </c>
      <c r="J8" s="49"/>
      <c r="K8" s="49">
        <v>7551966</v>
      </c>
      <c r="L8" s="49"/>
      <c r="M8" s="239">
        <f>K8*100/K9</f>
        <v>97.047341890637739</v>
      </c>
      <c r="R8" s="52"/>
    </row>
    <row r="9" spans="1:26" s="52" customFormat="1" ht="61.5" customHeight="1" x14ac:dyDescent="0.2">
      <c r="A9" s="51"/>
      <c r="B9" s="380" t="s">
        <v>6</v>
      </c>
      <c r="C9" s="390">
        <f>SUM(C7:C8)</f>
        <v>58</v>
      </c>
      <c r="D9" s="390"/>
      <c r="E9" s="391">
        <f>SUM(E7:E8)</f>
        <v>100</v>
      </c>
      <c r="F9" s="392"/>
      <c r="G9" s="390">
        <f>SUM(G7:G8)</f>
        <v>74366</v>
      </c>
      <c r="H9" s="390"/>
      <c r="I9" s="391">
        <f>SUM(I7:I8)</f>
        <v>100</v>
      </c>
      <c r="J9" s="392"/>
      <c r="K9" s="390">
        <f>SUM(K7:K8)</f>
        <v>7781734</v>
      </c>
      <c r="L9" s="390"/>
      <c r="M9" s="391">
        <f>SUM(M7:M8)</f>
        <v>100</v>
      </c>
      <c r="N9" s="393"/>
    </row>
    <row r="10" spans="1:26" s="1" customFormat="1" ht="30" customHeight="1" x14ac:dyDescent="0.2">
      <c r="B10" s="5" t="s">
        <v>217</v>
      </c>
      <c r="C10" s="6"/>
      <c r="D10" s="6"/>
      <c r="E10" s="6"/>
      <c r="F10" s="6"/>
      <c r="G10" s="7"/>
      <c r="H10" s="6"/>
      <c r="I10" s="6"/>
    </row>
    <row r="11" spans="1:26" s="1" customFormat="1" ht="19.899999999999999" customHeight="1" x14ac:dyDescent="0.2">
      <c r="B11" s="10" t="s">
        <v>257</v>
      </c>
      <c r="C11" s="11"/>
      <c r="D11" s="11"/>
      <c r="E11" s="11"/>
      <c r="F11" s="11"/>
      <c r="G11" s="11"/>
      <c r="H11" s="12"/>
      <c r="I11" s="12"/>
      <c r="J11" s="12"/>
      <c r="K11" s="12"/>
    </row>
    <row r="12" spans="1:26" s="1" customFormat="1" ht="25.15" customHeight="1" x14ac:dyDescent="0.2">
      <c r="B12" s="16" t="s">
        <v>245</v>
      </c>
      <c r="D12" s="17"/>
      <c r="E12" s="18"/>
      <c r="F12" s="17"/>
      <c r="G12" s="19"/>
      <c r="H12" s="20"/>
      <c r="I12" s="21"/>
      <c r="J12" s="21"/>
    </row>
    <row r="13" spans="1:26" s="53" customFormat="1" ht="87" customHeight="1" x14ac:dyDescent="0.25">
      <c r="B13" s="722" t="s">
        <v>17</v>
      </c>
      <c r="C13" s="722"/>
      <c r="D13" s="722"/>
      <c r="E13" s="722"/>
      <c r="F13" s="722"/>
      <c r="G13" s="722"/>
      <c r="H13" s="722"/>
      <c r="I13" s="722"/>
      <c r="J13" s="722"/>
      <c r="K13" s="722"/>
      <c r="L13" s="722"/>
      <c r="M13" s="722"/>
      <c r="N13" s="722"/>
    </row>
    <row r="14" spans="1:26" s="53" customFormat="1" ht="30" customHeight="1" x14ac:dyDescent="0.2">
      <c r="B14" s="715" t="s">
        <v>145</v>
      </c>
      <c r="C14" s="715"/>
      <c r="D14" s="715"/>
      <c r="E14" s="715"/>
      <c r="F14" s="715"/>
      <c r="G14" s="715"/>
      <c r="H14" s="715"/>
      <c r="I14" s="715"/>
      <c r="J14" s="715"/>
      <c r="K14" s="715"/>
      <c r="L14" s="715"/>
      <c r="M14" s="715"/>
      <c r="N14" s="715"/>
    </row>
    <row r="15" spans="1:26" s="53" customFormat="1" ht="54" customHeight="1" x14ac:dyDescent="0.2">
      <c r="B15" s="704" t="s">
        <v>183</v>
      </c>
      <c r="C15" s="704"/>
      <c r="D15" s="704"/>
      <c r="E15" s="704"/>
      <c r="F15" s="704"/>
      <c r="G15" s="704"/>
      <c r="H15" s="704"/>
      <c r="I15" s="704"/>
      <c r="J15" s="704"/>
      <c r="K15" s="704"/>
      <c r="L15" s="704"/>
      <c r="M15" s="704"/>
      <c r="N15" s="704"/>
    </row>
    <row r="16" spans="1:26" s="53" customFormat="1" ht="34.5" customHeight="1" x14ac:dyDescent="0.2">
      <c r="B16" s="698">
        <v>2025</v>
      </c>
      <c r="C16" s="698"/>
      <c r="D16" s="698"/>
      <c r="E16" s="698"/>
      <c r="F16" s="698"/>
      <c r="G16" s="698"/>
      <c r="H16" s="698"/>
      <c r="I16" s="698"/>
      <c r="J16" s="698"/>
      <c r="K16" s="698"/>
      <c r="L16" s="698"/>
      <c r="M16" s="698"/>
      <c r="N16" s="698"/>
    </row>
    <row r="17" spans="2:14" s="1" customFormat="1" ht="57.75" customHeight="1" x14ac:dyDescent="0.2">
      <c r="B17" s="723" t="s">
        <v>10</v>
      </c>
      <c r="C17" s="712" t="s">
        <v>2</v>
      </c>
      <c r="D17" s="720"/>
      <c r="E17" s="720"/>
      <c r="F17" s="720"/>
      <c r="G17" s="718" t="s">
        <v>85</v>
      </c>
      <c r="H17" s="718"/>
      <c r="I17" s="718"/>
      <c r="J17" s="718"/>
      <c r="K17" s="720" t="s">
        <v>12</v>
      </c>
      <c r="L17" s="720"/>
      <c r="M17" s="720"/>
      <c r="N17" s="710"/>
    </row>
    <row r="18" spans="2:14" s="1" customFormat="1" ht="51" customHeight="1" x14ac:dyDescent="0.2">
      <c r="B18" s="724"/>
      <c r="C18" s="721" t="s">
        <v>63</v>
      </c>
      <c r="D18" s="721"/>
      <c r="E18" s="713" t="s">
        <v>5</v>
      </c>
      <c r="F18" s="714"/>
      <c r="G18" s="721" t="s">
        <v>63</v>
      </c>
      <c r="H18" s="721"/>
      <c r="I18" s="713" t="s">
        <v>5</v>
      </c>
      <c r="J18" s="714"/>
      <c r="K18" s="721" t="s">
        <v>63</v>
      </c>
      <c r="L18" s="721"/>
      <c r="M18" s="708" t="s">
        <v>5</v>
      </c>
      <c r="N18" s="708"/>
    </row>
    <row r="19" spans="2:14" s="53" customFormat="1" ht="51" customHeight="1" x14ac:dyDescent="0.2">
      <c r="B19" s="389" t="s">
        <v>58</v>
      </c>
      <c r="C19" s="49">
        <v>25</v>
      </c>
      <c r="D19" s="49"/>
      <c r="E19" s="239">
        <f>C19*100/C21</f>
        <v>43.103448275862071</v>
      </c>
      <c r="F19" s="240"/>
      <c r="G19" s="49">
        <v>15531</v>
      </c>
      <c r="H19" s="49"/>
      <c r="I19" s="239">
        <f>G19*100/G21</f>
        <v>20.884544012048515</v>
      </c>
      <c r="J19" s="240"/>
      <c r="K19" s="49">
        <v>238028</v>
      </c>
      <c r="L19" s="49"/>
      <c r="M19" s="239">
        <f>K19*100/K21</f>
        <v>3.0588041174370648</v>
      </c>
    </row>
    <row r="20" spans="2:14" s="53" customFormat="1" ht="51" customHeight="1" x14ac:dyDescent="0.2">
      <c r="B20" s="389" t="s">
        <v>57</v>
      </c>
      <c r="C20" s="49">
        <v>33</v>
      </c>
      <c r="D20" s="49"/>
      <c r="E20" s="239">
        <f>C20*100/C21</f>
        <v>56.896551724137929</v>
      </c>
      <c r="F20" s="240"/>
      <c r="G20" s="49">
        <v>58835</v>
      </c>
      <c r="H20" s="49"/>
      <c r="I20" s="239">
        <f>G20*100/G21</f>
        <v>79.115455987951478</v>
      </c>
      <c r="J20" s="240"/>
      <c r="K20" s="49">
        <v>7543706</v>
      </c>
      <c r="L20" s="49"/>
      <c r="M20" s="239">
        <f>K20*100/K21</f>
        <v>96.941195882562937</v>
      </c>
    </row>
    <row r="21" spans="2:14" s="53" customFormat="1" ht="52.5" customHeight="1" x14ac:dyDescent="0.2">
      <c r="B21" s="380" t="s">
        <v>6</v>
      </c>
      <c r="C21" s="390">
        <f>SUM(C19:C20)</f>
        <v>58</v>
      </c>
      <c r="D21" s="390"/>
      <c r="E21" s="391">
        <f>SUM(E19:E20)</f>
        <v>100</v>
      </c>
      <c r="F21" s="394"/>
      <c r="G21" s="390">
        <f>SUM(G19:G20)</f>
        <v>74366</v>
      </c>
      <c r="H21" s="390"/>
      <c r="I21" s="391">
        <f>SUM(I19:I20)</f>
        <v>100</v>
      </c>
      <c r="J21" s="394"/>
      <c r="K21" s="390">
        <f>SUM(K19:K20)</f>
        <v>7781734</v>
      </c>
      <c r="L21" s="390"/>
      <c r="M21" s="391">
        <f>SUM(M19:M20)</f>
        <v>100</v>
      </c>
      <c r="N21" s="382"/>
    </row>
    <row r="22" spans="2:14" s="1" customFormat="1" ht="30" customHeight="1" x14ac:dyDescent="0.2">
      <c r="B22" s="5" t="s">
        <v>217</v>
      </c>
      <c r="C22" s="6"/>
      <c r="D22" s="6"/>
      <c r="E22" s="6"/>
      <c r="F22" s="6"/>
      <c r="G22" s="7"/>
      <c r="H22" s="6"/>
      <c r="I22" s="6"/>
    </row>
    <row r="23" spans="2:14" s="1" customFormat="1" ht="19.899999999999999" customHeight="1" x14ac:dyDescent="0.2">
      <c r="B23" s="10" t="s">
        <v>257</v>
      </c>
      <c r="C23" s="11"/>
      <c r="D23" s="11"/>
      <c r="E23" s="11"/>
      <c r="F23" s="11"/>
      <c r="G23" s="11"/>
      <c r="H23" s="12"/>
      <c r="I23" s="12"/>
      <c r="J23" s="12"/>
      <c r="K23" s="12"/>
    </row>
    <row r="24" spans="2:14" s="1" customFormat="1" ht="25.15" customHeight="1" x14ac:dyDescent="0.2">
      <c r="B24" s="16" t="s">
        <v>245</v>
      </c>
      <c r="D24" s="17"/>
      <c r="E24" s="18"/>
      <c r="F24" s="17"/>
      <c r="G24" s="19"/>
      <c r="H24" s="20"/>
      <c r="I24" s="21"/>
      <c r="J24" s="21"/>
    </row>
    <row r="25" spans="2:14" s="20" customFormat="1" ht="40.9" customHeight="1" x14ac:dyDescent="0.2"/>
    <row r="29" spans="2:14" ht="17.45" customHeight="1" x14ac:dyDescent="0.2">
      <c r="B29" s="697"/>
      <c r="C29" s="697"/>
      <c r="D29" s="697"/>
      <c r="E29" s="697"/>
      <c r="F29" s="697"/>
      <c r="G29" s="697"/>
      <c r="H29" s="697"/>
      <c r="I29" s="697"/>
      <c r="J29" s="697"/>
      <c r="K29" s="697"/>
      <c r="L29" s="697"/>
      <c r="M29" s="697"/>
      <c r="N29" s="697"/>
    </row>
    <row r="60" spans="2:2" s="1" customFormat="1" ht="15" customHeight="1" x14ac:dyDescent="0.2">
      <c r="B60" s="54"/>
    </row>
    <row r="61" spans="2:2" s="1" customFormat="1" ht="20.100000000000001" customHeight="1" x14ac:dyDescent="0.2">
      <c r="B61" s="54"/>
    </row>
    <row r="62" spans="2:2" s="1" customFormat="1" ht="20.100000000000001" customHeight="1" x14ac:dyDescent="0.2"/>
    <row r="63" spans="2:2" s="1" customFormat="1" ht="20.100000000000001" customHeight="1" x14ac:dyDescent="0.2"/>
    <row r="64" spans="2:2" s="1" customFormat="1" ht="20.100000000000001" customHeight="1" x14ac:dyDescent="0.2"/>
    <row r="65" s="1" customFormat="1" ht="20.100000000000001" customHeight="1" x14ac:dyDescent="0.2"/>
    <row r="66" s="1" customFormat="1" ht="20.100000000000001" customHeight="1" x14ac:dyDescent="0.2"/>
    <row r="67" s="1" customFormat="1" ht="20.100000000000001" customHeight="1" x14ac:dyDescent="0.2"/>
    <row r="68" s="1" customFormat="1" ht="20.100000000000001" customHeight="1" x14ac:dyDescent="0.2"/>
    <row r="69" s="1" customFormat="1" ht="20.100000000000001" customHeight="1" x14ac:dyDescent="0.2"/>
    <row r="70" s="1" customFormat="1" ht="20.100000000000001" customHeight="1" x14ac:dyDescent="0.2"/>
    <row r="71" s="1" customFormat="1" ht="20.100000000000001" customHeight="1" x14ac:dyDescent="0.2"/>
    <row r="72" s="1" customFormat="1" ht="20.100000000000001" customHeight="1" x14ac:dyDescent="0.2"/>
    <row r="73" s="1" customFormat="1" ht="20.100000000000001" customHeight="1" x14ac:dyDescent="0.2"/>
    <row r="74" s="1" customFormat="1" ht="20.100000000000001" customHeight="1" x14ac:dyDescent="0.2"/>
    <row r="75" s="1" customFormat="1" ht="20.100000000000001" customHeight="1" x14ac:dyDescent="0.2"/>
    <row r="76" s="1" customFormat="1" ht="20.100000000000001" customHeight="1" x14ac:dyDescent="0.2"/>
    <row r="77" s="1" customFormat="1" ht="20.100000000000001" customHeight="1" x14ac:dyDescent="0.2"/>
    <row r="78" s="1" customFormat="1" ht="20.100000000000001" customHeight="1" x14ac:dyDescent="0.2"/>
    <row r="79" s="1" customFormat="1" ht="20.100000000000001" customHeight="1" x14ac:dyDescent="0.2"/>
    <row r="80" s="1" customFormat="1" ht="20.100000000000001" customHeight="1" x14ac:dyDescent="0.2"/>
    <row r="81" s="1" customFormat="1" ht="20.100000000000001" customHeight="1" x14ac:dyDescent="0.2"/>
  </sheetData>
  <mergeCells count="29">
    <mergeCell ref="B29:N29"/>
    <mergeCell ref="B13:N13"/>
    <mergeCell ref="B15:N15"/>
    <mergeCell ref="B16:N16"/>
    <mergeCell ref="B14:N14"/>
    <mergeCell ref="B17:B18"/>
    <mergeCell ref="C18:D18"/>
    <mergeCell ref="E18:F18"/>
    <mergeCell ref="K18:L18"/>
    <mergeCell ref="G18:H18"/>
    <mergeCell ref="I18:J18"/>
    <mergeCell ref="K17:N17"/>
    <mergeCell ref="C17:F17"/>
    <mergeCell ref="G17:J17"/>
    <mergeCell ref="M18:N18"/>
    <mergeCell ref="B4:N4"/>
    <mergeCell ref="B2:N2"/>
    <mergeCell ref="B1:N1"/>
    <mergeCell ref="B3:N3"/>
    <mergeCell ref="E6:F6"/>
    <mergeCell ref="G6:H6"/>
    <mergeCell ref="K5:N5"/>
    <mergeCell ref="C5:F5"/>
    <mergeCell ref="G5:J5"/>
    <mergeCell ref="I6:J6"/>
    <mergeCell ref="K6:L6"/>
    <mergeCell ref="M6:N6"/>
    <mergeCell ref="B5:B6"/>
    <mergeCell ref="C6:D6"/>
  </mergeCells>
  <phoneticPr fontId="2" type="noConversion"/>
  <printOptions horizontalCentered="1" verticalCentered="1"/>
  <pageMargins left="0" right="0" top="0" bottom="0" header="0" footer="0"/>
  <pageSetup paperSize="9" scale="5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B1:Z38"/>
  <sheetViews>
    <sheetView showGridLines="0" zoomScale="55" zoomScaleNormal="55" workbookViewId="0">
      <selection activeCell="R20" sqref="R20"/>
    </sheetView>
  </sheetViews>
  <sheetFormatPr baseColWidth="10" defaultColWidth="11.42578125" defaultRowHeight="15" x14ac:dyDescent="0.2"/>
  <cols>
    <col min="1" max="1" width="7.42578125" style="53" customWidth="1"/>
    <col min="2" max="2" width="62.5703125" style="53" customWidth="1"/>
    <col min="3" max="3" width="12.140625" style="53" customWidth="1"/>
    <col min="4" max="4" width="4.7109375" style="53" customWidth="1"/>
    <col min="5" max="5" width="13.140625" style="53" customWidth="1"/>
    <col min="6" max="6" width="4.5703125" style="53" customWidth="1"/>
    <col min="7" max="7" width="19.5703125" style="53" customWidth="1"/>
    <col min="8" max="8" width="5.7109375" style="53" customWidth="1"/>
    <col min="9" max="9" width="15.7109375" style="53" customWidth="1"/>
    <col min="10" max="10" width="5.7109375" style="53" customWidth="1"/>
    <col min="11" max="11" width="16.28515625" style="53" customWidth="1"/>
    <col min="12" max="12" width="5.7109375" style="53" customWidth="1"/>
    <col min="13" max="13" width="12.7109375" style="53" customWidth="1"/>
    <col min="14" max="14" width="5.7109375" style="53" customWidth="1"/>
    <col min="15" max="15" width="7.7109375" style="53" customWidth="1"/>
    <col min="16" max="17" width="0" style="53" hidden="1" customWidth="1"/>
    <col min="18" max="18" width="21" style="53" customWidth="1"/>
    <col min="19" max="16384" width="11.42578125" style="53"/>
  </cols>
  <sheetData>
    <row r="1" spans="2:26" ht="30" customHeight="1" x14ac:dyDescent="0.2">
      <c r="B1" s="725" t="s">
        <v>20</v>
      </c>
      <c r="C1" s="725"/>
      <c r="D1" s="725"/>
      <c r="E1" s="725"/>
      <c r="F1" s="725"/>
      <c r="G1" s="725"/>
      <c r="H1" s="725"/>
      <c r="I1" s="725"/>
      <c r="J1" s="725"/>
      <c r="K1" s="725"/>
      <c r="L1" s="725"/>
      <c r="M1" s="725"/>
      <c r="N1" s="725"/>
      <c r="O1" s="651"/>
      <c r="P1" s="652"/>
      <c r="Q1" s="653"/>
      <c r="R1" s="654"/>
      <c r="S1" s="654"/>
      <c r="T1" s="654"/>
      <c r="U1" s="654"/>
      <c r="V1" s="654"/>
    </row>
    <row r="2" spans="2:26" ht="30" customHeight="1" x14ac:dyDescent="0.2">
      <c r="B2" s="521" t="s">
        <v>145</v>
      </c>
      <c r="C2" s="367"/>
      <c r="D2" s="367"/>
      <c r="E2" s="367"/>
      <c r="F2" s="367"/>
      <c r="G2" s="367"/>
      <c r="H2" s="367"/>
      <c r="I2" s="367"/>
      <c r="J2" s="367"/>
      <c r="K2" s="367"/>
      <c r="L2" s="367"/>
      <c r="M2" s="367"/>
      <c r="N2" s="522"/>
      <c r="O2" s="655"/>
      <c r="P2" s="656"/>
      <c r="Q2" s="654"/>
      <c r="R2" s="654"/>
      <c r="S2" s="654"/>
      <c r="T2" s="654"/>
      <c r="U2" s="654"/>
      <c r="V2" s="654"/>
    </row>
    <row r="3" spans="2:26" ht="45" customHeight="1" x14ac:dyDescent="0.2">
      <c r="B3" s="726" t="s">
        <v>184</v>
      </c>
      <c r="C3" s="726"/>
      <c r="D3" s="726"/>
      <c r="E3" s="726"/>
      <c r="F3" s="726"/>
      <c r="G3" s="726"/>
      <c r="H3" s="726"/>
      <c r="I3" s="726"/>
      <c r="J3" s="726"/>
      <c r="K3" s="726"/>
      <c r="L3" s="726"/>
      <c r="M3" s="726"/>
      <c r="N3" s="726"/>
      <c r="O3" s="655"/>
      <c r="P3" s="656"/>
      <c r="Q3" s="654"/>
      <c r="R3" s="654"/>
      <c r="S3" s="654"/>
      <c r="T3" s="654"/>
      <c r="U3" s="654"/>
      <c r="V3" s="654"/>
      <c r="W3" s="55"/>
      <c r="X3" s="55"/>
      <c r="Y3" s="55"/>
    </row>
    <row r="4" spans="2:26" ht="30" customHeight="1" x14ac:dyDescent="0.2">
      <c r="B4" s="725">
        <v>2025</v>
      </c>
      <c r="C4" s="725"/>
      <c r="D4" s="725"/>
      <c r="E4" s="725"/>
      <c r="F4" s="725"/>
      <c r="G4" s="725"/>
      <c r="H4" s="725"/>
      <c r="I4" s="725"/>
      <c r="J4" s="725"/>
      <c r="K4" s="725"/>
      <c r="L4" s="725"/>
      <c r="M4" s="725"/>
      <c r="N4" s="725"/>
      <c r="O4" s="655"/>
      <c r="P4" s="654"/>
      <c r="Q4" s="654"/>
      <c r="R4" s="654"/>
      <c r="S4" s="654"/>
      <c r="T4" s="654"/>
      <c r="U4" s="654"/>
      <c r="V4" s="654"/>
      <c r="W4" s="55"/>
      <c r="X4" s="55"/>
      <c r="Y4" s="55"/>
    </row>
    <row r="5" spans="2:26" ht="30" customHeight="1" x14ac:dyDescent="0.2">
      <c r="B5" s="723" t="s">
        <v>123</v>
      </c>
      <c r="C5" s="720" t="s">
        <v>2</v>
      </c>
      <c r="D5" s="720"/>
      <c r="E5" s="720"/>
      <c r="F5" s="720"/>
      <c r="G5" s="720" t="s">
        <v>15</v>
      </c>
      <c r="H5" s="720"/>
      <c r="I5" s="720"/>
      <c r="J5" s="720"/>
      <c r="K5" s="720" t="s">
        <v>12</v>
      </c>
      <c r="L5" s="720"/>
      <c r="M5" s="720"/>
      <c r="N5" s="710"/>
      <c r="O5" s="657"/>
      <c r="P5" s="654"/>
      <c r="Q5" s="654"/>
      <c r="R5" s="654"/>
      <c r="S5" s="654"/>
      <c r="T5" s="654"/>
      <c r="U5" s="654"/>
      <c r="V5" s="654"/>
      <c r="W5" s="55"/>
      <c r="X5" s="55"/>
      <c r="Y5" s="55"/>
      <c r="Z5" s="56"/>
    </row>
    <row r="6" spans="2:26" ht="30" customHeight="1" x14ac:dyDescent="0.2">
      <c r="B6" s="723"/>
      <c r="C6" s="708" t="s">
        <v>63</v>
      </c>
      <c r="D6" s="708"/>
      <c r="E6" s="713" t="s">
        <v>5</v>
      </c>
      <c r="F6" s="714"/>
      <c r="G6" s="708" t="s">
        <v>63</v>
      </c>
      <c r="H6" s="708"/>
      <c r="I6" s="713" t="s">
        <v>5</v>
      </c>
      <c r="J6" s="714"/>
      <c r="K6" s="708" t="s">
        <v>63</v>
      </c>
      <c r="L6" s="708"/>
      <c r="M6" s="708" t="s">
        <v>5</v>
      </c>
      <c r="N6" s="708"/>
      <c r="O6" s="657"/>
      <c r="P6" s="654"/>
      <c r="Q6" s="654"/>
      <c r="R6" s="654"/>
      <c r="S6" s="654"/>
      <c r="T6" s="654"/>
      <c r="U6" s="654"/>
      <c r="V6" s="654"/>
      <c r="W6" s="55"/>
      <c r="X6" s="55"/>
      <c r="Y6" s="55"/>
      <c r="Z6" s="56"/>
    </row>
    <row r="7" spans="2:26" ht="20.25" customHeight="1" x14ac:dyDescent="0.2">
      <c r="B7" s="395"/>
      <c r="C7" s="241"/>
      <c r="D7" s="242"/>
      <c r="E7" s="243"/>
      <c r="F7" s="243"/>
      <c r="G7" s="241"/>
      <c r="H7" s="244"/>
      <c r="I7" s="243"/>
      <c r="J7" s="243"/>
      <c r="K7" s="245"/>
      <c r="L7" s="246"/>
      <c r="M7" s="243"/>
      <c r="N7" s="243"/>
      <c r="O7" s="657"/>
      <c r="P7" s="654"/>
      <c r="Q7" s="654"/>
      <c r="R7" s="654"/>
      <c r="S7" s="658"/>
      <c r="T7" s="654"/>
      <c r="U7" s="654"/>
      <c r="V7" s="654"/>
      <c r="W7" s="55"/>
      <c r="X7" s="55"/>
      <c r="Y7" s="55"/>
      <c r="Z7" s="56"/>
    </row>
    <row r="8" spans="2:26" ht="35.1" customHeight="1" x14ac:dyDescent="0.2">
      <c r="B8" s="378" t="s">
        <v>188</v>
      </c>
      <c r="C8" s="515">
        <v>3</v>
      </c>
      <c r="D8" s="242"/>
      <c r="E8" s="243">
        <f t="shared" ref="E8:E16" si="0">C8/C$17*100</f>
        <v>5.1724137931034484</v>
      </c>
      <c r="F8" s="243"/>
      <c r="G8" s="516">
        <v>1038</v>
      </c>
      <c r="H8" s="244"/>
      <c r="I8" s="243">
        <f t="shared" ref="I8:I16" si="1">G8/G$17*100</f>
        <v>1.3957991555280638</v>
      </c>
      <c r="J8" s="243"/>
      <c r="K8" s="517">
        <v>191768</v>
      </c>
      <c r="L8" s="240"/>
      <c r="M8" s="243">
        <f t="shared" ref="M8:M16" si="2">K8/K$17*100</f>
        <v>2.464335069792928</v>
      </c>
      <c r="N8" s="243"/>
      <c r="O8" s="657"/>
      <c r="P8" s="654"/>
      <c r="Q8" s="654"/>
      <c r="R8" s="654"/>
      <c r="S8" s="659"/>
      <c r="T8" s="654"/>
      <c r="U8" s="654"/>
      <c r="V8" s="654"/>
      <c r="W8" s="55"/>
      <c r="X8" s="55"/>
      <c r="Y8" s="55"/>
      <c r="Z8" s="56"/>
    </row>
    <row r="9" spans="2:26" ht="35.1" customHeight="1" x14ac:dyDescent="0.2">
      <c r="B9" s="378" t="s">
        <v>131</v>
      </c>
      <c r="C9" s="515">
        <v>12</v>
      </c>
      <c r="D9" s="242"/>
      <c r="E9" s="243">
        <f t="shared" si="0"/>
        <v>20.689655172413794</v>
      </c>
      <c r="F9" s="243"/>
      <c r="G9" s="516">
        <v>2160</v>
      </c>
      <c r="H9" s="244"/>
      <c r="I9" s="243">
        <f t="shared" si="1"/>
        <v>2.904553156012156</v>
      </c>
      <c r="J9" s="243"/>
      <c r="K9" s="517">
        <v>136448</v>
      </c>
      <c r="L9" s="518"/>
      <c r="M9" s="243">
        <f t="shared" si="2"/>
        <v>1.7534395290304192</v>
      </c>
      <c r="N9" s="243"/>
      <c r="O9" s="657"/>
      <c r="P9" s="654"/>
      <c r="Q9" s="654"/>
      <c r="R9" s="654"/>
      <c r="S9" s="658"/>
      <c r="T9" s="654"/>
      <c r="U9" s="654"/>
      <c r="V9" s="654"/>
      <c r="W9" s="55"/>
      <c r="X9" s="55"/>
      <c r="Y9" s="55"/>
      <c r="Z9" s="56"/>
    </row>
    <row r="10" spans="2:26" ht="35.1" customHeight="1" x14ac:dyDescent="0.2">
      <c r="B10" s="395" t="s">
        <v>89</v>
      </c>
      <c r="C10" s="515">
        <v>2</v>
      </c>
      <c r="D10" s="242"/>
      <c r="E10" s="243">
        <f t="shared" si="0"/>
        <v>3.4482758620689653</v>
      </c>
      <c r="F10" s="243"/>
      <c r="G10" s="516">
        <v>565</v>
      </c>
      <c r="H10" s="244"/>
      <c r="I10" s="243">
        <f t="shared" si="1"/>
        <v>0.75975580238280926</v>
      </c>
      <c r="J10" s="243"/>
      <c r="K10" s="517">
        <v>4760</v>
      </c>
      <c r="L10" s="519"/>
      <c r="M10" s="243">
        <f t="shared" si="2"/>
        <v>6.1168886009210797E-2</v>
      </c>
      <c r="N10" s="243"/>
      <c r="O10" s="657"/>
      <c r="P10" s="654"/>
      <c r="Q10" s="654"/>
      <c r="R10" s="654"/>
      <c r="S10" s="658"/>
      <c r="T10" s="654"/>
      <c r="U10" s="654"/>
      <c r="V10" s="654"/>
      <c r="W10" s="55"/>
      <c r="X10" s="55"/>
      <c r="Y10" s="55"/>
      <c r="Z10" s="56"/>
    </row>
    <row r="11" spans="2:26" ht="35.1" customHeight="1" x14ac:dyDescent="0.2">
      <c r="B11" s="395" t="s">
        <v>109</v>
      </c>
      <c r="C11" s="515">
        <v>1</v>
      </c>
      <c r="D11" s="242"/>
      <c r="E11" s="251">
        <f t="shared" si="0"/>
        <v>1.7241379310344827</v>
      </c>
      <c r="F11" s="251"/>
      <c r="G11" s="516">
        <v>40</v>
      </c>
      <c r="H11" s="244"/>
      <c r="I11" s="243">
        <f t="shared" si="1"/>
        <v>5.3788021407632516E-2</v>
      </c>
      <c r="J11" s="243"/>
      <c r="K11" s="517">
        <v>2880</v>
      </c>
      <c r="L11" s="240"/>
      <c r="M11" s="243">
        <f t="shared" si="2"/>
        <v>3.7009746156833424E-2</v>
      </c>
      <c r="N11" s="243"/>
      <c r="O11" s="657"/>
      <c r="P11" s="654"/>
      <c r="Q11" s="654"/>
      <c r="R11" s="654"/>
      <c r="S11" s="658"/>
      <c r="T11" s="654"/>
      <c r="U11" s="654"/>
      <c r="V11" s="654"/>
      <c r="W11" s="55"/>
      <c r="X11" s="55"/>
      <c r="Y11" s="55"/>
      <c r="Z11" s="56"/>
    </row>
    <row r="12" spans="2:26" ht="35.1" customHeight="1" x14ac:dyDescent="0.2">
      <c r="B12" s="395" t="s">
        <v>266</v>
      </c>
      <c r="C12" s="515">
        <v>3</v>
      </c>
      <c r="D12" s="242"/>
      <c r="E12" s="251">
        <f t="shared" si="0"/>
        <v>5.1724137931034484</v>
      </c>
      <c r="F12" s="251"/>
      <c r="G12" s="516">
        <v>113</v>
      </c>
      <c r="H12" s="244"/>
      <c r="I12" s="243">
        <f t="shared" si="1"/>
        <v>0.15195116047656188</v>
      </c>
      <c r="J12" s="243"/>
      <c r="K12" s="517">
        <v>2384</v>
      </c>
      <c r="L12" s="240"/>
      <c r="M12" s="243">
        <f t="shared" si="2"/>
        <v>3.0635845429823224E-2</v>
      </c>
      <c r="N12" s="243"/>
      <c r="O12" s="657"/>
      <c r="P12" s="654"/>
      <c r="Q12" s="654"/>
      <c r="R12" s="654"/>
      <c r="S12" s="658"/>
      <c r="T12" s="654"/>
      <c r="U12" s="654"/>
      <c r="V12" s="654"/>
      <c r="W12" s="55"/>
      <c r="X12" s="55"/>
      <c r="Y12" s="55"/>
      <c r="Z12" s="56"/>
    </row>
    <row r="13" spans="2:26" ht="35.1" customHeight="1" x14ac:dyDescent="0.2">
      <c r="B13" s="395" t="s">
        <v>111</v>
      </c>
      <c r="C13" s="515">
        <v>20</v>
      </c>
      <c r="D13" s="242"/>
      <c r="E13" s="251">
        <f t="shared" si="0"/>
        <v>34.482758620689658</v>
      </c>
      <c r="F13" s="243"/>
      <c r="G13" s="516">
        <v>48146</v>
      </c>
      <c r="H13" s="244"/>
      <c r="I13" s="243">
        <f t="shared" si="1"/>
        <v>64.741951967296885</v>
      </c>
      <c r="J13" s="243"/>
      <c r="K13" s="520">
        <v>6099568</v>
      </c>
      <c r="L13" s="240"/>
      <c r="M13" s="243">
        <f t="shared" si="2"/>
        <v>78.383146995258386</v>
      </c>
      <c r="N13" s="243"/>
      <c r="O13" s="657"/>
      <c r="P13" s="654"/>
      <c r="Q13" s="654"/>
      <c r="R13" s="654"/>
      <c r="S13" s="658"/>
      <c r="T13" s="654"/>
      <c r="U13" s="654"/>
      <c r="V13" s="654"/>
      <c r="W13" s="55"/>
      <c r="X13" s="55"/>
      <c r="Y13" s="55"/>
      <c r="Z13" s="56"/>
    </row>
    <row r="14" spans="2:26" ht="35.1" customHeight="1" x14ac:dyDescent="0.2">
      <c r="B14" s="395" t="s">
        <v>19</v>
      </c>
      <c r="C14" s="515">
        <v>6</v>
      </c>
      <c r="D14" s="242"/>
      <c r="E14" s="251">
        <f t="shared" si="0"/>
        <v>10.344827586206897</v>
      </c>
      <c r="F14" s="243"/>
      <c r="G14" s="516">
        <v>567</v>
      </c>
      <c r="H14" s="244"/>
      <c r="I14" s="243">
        <f t="shared" si="1"/>
        <v>0.762445203453191</v>
      </c>
      <c r="J14" s="243"/>
      <c r="K14" s="517">
        <v>11800</v>
      </c>
      <c r="L14" s="240"/>
      <c r="M14" s="243">
        <f t="shared" si="2"/>
        <v>0.15163715439258141</v>
      </c>
      <c r="N14" s="243"/>
      <c r="O14" s="657"/>
      <c r="P14" s="654"/>
      <c r="Q14" s="654"/>
      <c r="R14" s="654"/>
      <c r="S14" s="658"/>
      <c r="T14" s="654"/>
      <c r="U14" s="654"/>
      <c r="V14" s="654"/>
      <c r="W14" s="55"/>
      <c r="X14" s="55"/>
      <c r="Y14" s="55"/>
      <c r="Z14" s="56"/>
    </row>
    <row r="15" spans="2:26" ht="34.5" customHeight="1" x14ac:dyDescent="0.2">
      <c r="B15" s="395" t="s">
        <v>46</v>
      </c>
      <c r="C15" s="515">
        <v>10</v>
      </c>
      <c r="D15" s="242"/>
      <c r="E15" s="251">
        <f t="shared" si="0"/>
        <v>17.241379310344829</v>
      </c>
      <c r="F15" s="243"/>
      <c r="G15" s="516">
        <v>20837</v>
      </c>
      <c r="H15" s="244"/>
      <c r="I15" s="243">
        <f t="shared" si="1"/>
        <v>28.019525051770973</v>
      </c>
      <c r="J15" s="243"/>
      <c r="K15" s="517">
        <v>1317726</v>
      </c>
      <c r="L15" s="240"/>
      <c r="M15" s="243">
        <f t="shared" si="2"/>
        <v>16.933578043145651</v>
      </c>
      <c r="N15" s="243"/>
      <c r="O15" s="657"/>
      <c r="P15" s="654"/>
      <c r="Q15" s="654"/>
      <c r="R15" s="654"/>
      <c r="S15" s="658"/>
      <c r="T15" s="654"/>
      <c r="U15" s="654"/>
      <c r="V15" s="654"/>
      <c r="W15" s="55"/>
      <c r="X15" s="55"/>
      <c r="Y15" s="55"/>
      <c r="Z15" s="56"/>
    </row>
    <row r="16" spans="2:26" ht="34.5" customHeight="1" x14ac:dyDescent="0.2">
      <c r="B16" s="395" t="s">
        <v>297</v>
      </c>
      <c r="C16" s="515">
        <v>1</v>
      </c>
      <c r="D16" s="242"/>
      <c r="E16" s="251">
        <f t="shared" si="0"/>
        <v>1.7241379310344827</v>
      </c>
      <c r="F16" s="243"/>
      <c r="G16" s="516">
        <v>900</v>
      </c>
      <c r="H16" s="244"/>
      <c r="I16" s="243">
        <f t="shared" si="1"/>
        <v>1.2102304816717318</v>
      </c>
      <c r="J16" s="243"/>
      <c r="K16" s="517">
        <v>14400</v>
      </c>
      <c r="L16" s="519"/>
      <c r="M16" s="243">
        <f t="shared" si="2"/>
        <v>0.18504873078416711</v>
      </c>
      <c r="N16" s="243"/>
      <c r="O16" s="657"/>
      <c r="P16" s="654"/>
      <c r="Q16" s="654"/>
      <c r="R16" s="654"/>
      <c r="S16" s="654"/>
      <c r="T16" s="654"/>
      <c r="U16" s="654"/>
      <c r="V16" s="654"/>
      <c r="W16" s="55"/>
      <c r="X16" s="55"/>
      <c r="Y16" s="55"/>
      <c r="Z16" s="56"/>
    </row>
    <row r="17" spans="2:26" ht="45" customHeight="1" x14ac:dyDescent="0.2">
      <c r="B17" s="380" t="s">
        <v>6</v>
      </c>
      <c r="C17" s="397">
        <f>SUM(C7:C16)</f>
        <v>58</v>
      </c>
      <c r="D17" s="398"/>
      <c r="E17" s="398">
        <f>SUM(E7:E16)</f>
        <v>100</v>
      </c>
      <c r="F17" s="399"/>
      <c r="G17" s="397">
        <f>SUM(G7:G16)</f>
        <v>74366</v>
      </c>
      <c r="H17" s="397"/>
      <c r="I17" s="398">
        <f>SUM(I7:I16)</f>
        <v>100</v>
      </c>
      <c r="J17" s="399"/>
      <c r="K17" s="397">
        <f>SUM(K7:K16)</f>
        <v>7781734</v>
      </c>
      <c r="L17" s="398"/>
      <c r="M17" s="398">
        <f>SUM(M7:M16)</f>
        <v>100</v>
      </c>
      <c r="N17" s="398"/>
      <c r="O17" s="657"/>
      <c r="P17" s="654"/>
      <c r="Q17" s="654"/>
      <c r="R17" s="661"/>
      <c r="S17" s="654"/>
      <c r="T17" s="654"/>
      <c r="U17" s="654"/>
      <c r="V17" s="654"/>
      <c r="W17" s="55"/>
      <c r="X17" s="55"/>
      <c r="Y17" s="55"/>
      <c r="Z17" s="56"/>
    </row>
    <row r="18" spans="2:26" ht="29.25" customHeight="1" x14ac:dyDescent="0.2">
      <c r="B18" s="52" t="s">
        <v>217</v>
      </c>
      <c r="O18" s="654"/>
      <c r="P18" s="654"/>
      <c r="Q18" s="654"/>
      <c r="R18" s="660"/>
      <c r="S18" s="661"/>
      <c r="T18" s="654"/>
      <c r="U18" s="654"/>
      <c r="V18" s="654"/>
    </row>
    <row r="19" spans="2:26" ht="24.6" customHeight="1" x14ac:dyDescent="0.2">
      <c r="B19" s="59" t="s">
        <v>257</v>
      </c>
      <c r="D19" s="60"/>
      <c r="E19" s="60"/>
      <c r="F19" s="60"/>
      <c r="G19" s="60"/>
      <c r="H19" s="60"/>
      <c r="I19" s="61"/>
      <c r="J19" s="61"/>
      <c r="K19" s="61"/>
      <c r="L19" s="61"/>
      <c r="O19" s="654"/>
      <c r="P19" s="654"/>
      <c r="Q19" s="654"/>
      <c r="R19" s="662"/>
      <c r="S19" s="661"/>
      <c r="T19" s="654"/>
      <c r="U19" s="654"/>
      <c r="V19" s="654"/>
    </row>
    <row r="20" spans="2:26" ht="24.6" customHeight="1" x14ac:dyDescent="0.2">
      <c r="B20" s="23" t="s">
        <v>247</v>
      </c>
      <c r="E20" s="18"/>
      <c r="F20" s="18"/>
      <c r="G20" s="18"/>
      <c r="H20" s="18"/>
      <c r="I20" s="65"/>
      <c r="J20" s="50"/>
      <c r="K20" s="50"/>
      <c r="O20" s="654"/>
      <c r="P20" s="654"/>
      <c r="Q20" s="654"/>
      <c r="R20" s="654"/>
      <c r="S20" s="654"/>
      <c r="T20" s="654"/>
      <c r="U20" s="654"/>
      <c r="V20" s="654"/>
    </row>
    <row r="21" spans="2:26" x14ac:dyDescent="0.2">
      <c r="O21" s="654"/>
      <c r="P21" s="654"/>
      <c r="Q21" s="654"/>
      <c r="R21" s="654"/>
      <c r="S21" s="654"/>
      <c r="T21" s="654"/>
      <c r="U21" s="654"/>
      <c r="V21" s="654"/>
      <c r="W21" s="55"/>
      <c r="X21" s="55"/>
      <c r="Y21" s="55"/>
      <c r="Z21" s="56"/>
    </row>
    <row r="22" spans="2:26" x14ac:dyDescent="0.2">
      <c r="O22" s="654"/>
      <c r="P22" s="654"/>
      <c r="Q22" s="654"/>
      <c r="R22" s="654"/>
      <c r="S22" s="654"/>
      <c r="T22" s="654"/>
      <c r="U22" s="654"/>
      <c r="V22" s="654"/>
      <c r="W22" s="55"/>
      <c r="X22" s="55"/>
      <c r="Y22" s="55"/>
      <c r="Z22" s="56"/>
    </row>
    <row r="23" spans="2:26" x14ac:dyDescent="0.2">
      <c r="O23" s="654"/>
      <c r="P23" s="654"/>
      <c r="Q23" s="654"/>
      <c r="R23" s="654"/>
      <c r="S23" s="654"/>
      <c r="T23" s="654"/>
      <c r="U23" s="654"/>
      <c r="V23" s="654"/>
      <c r="W23" s="55"/>
      <c r="X23" s="55"/>
      <c r="Y23" s="55"/>
      <c r="Z23" s="56"/>
    </row>
    <row r="24" spans="2:26" x14ac:dyDescent="0.2">
      <c r="R24" s="55"/>
      <c r="S24" s="55"/>
      <c r="T24" s="55"/>
      <c r="U24" s="55"/>
      <c r="V24" s="55"/>
      <c r="W24" s="55"/>
      <c r="X24" s="55"/>
      <c r="Y24" s="55"/>
      <c r="Z24" s="56"/>
    </row>
    <row r="25" spans="2:26" x14ac:dyDescent="0.2">
      <c r="R25" s="55"/>
      <c r="S25" s="55"/>
      <c r="T25" s="55"/>
      <c r="U25" s="55"/>
      <c r="V25" s="55"/>
      <c r="W25" s="55"/>
      <c r="X25" s="55"/>
      <c r="Y25" s="55"/>
      <c r="Z25" s="56"/>
    </row>
    <row r="26" spans="2:26" x14ac:dyDescent="0.2">
      <c r="R26" s="55"/>
      <c r="S26" s="55"/>
      <c r="T26" s="55"/>
      <c r="U26" s="55"/>
      <c r="V26" s="55"/>
      <c r="W26" s="55"/>
      <c r="X26" s="55"/>
      <c r="Y26" s="55"/>
    </row>
    <row r="27" spans="2:26" x14ac:dyDescent="0.2">
      <c r="R27" s="55"/>
      <c r="S27" s="55"/>
      <c r="T27" s="55"/>
      <c r="U27" s="55"/>
      <c r="V27" s="55"/>
      <c r="W27" s="55"/>
      <c r="X27" s="55"/>
      <c r="Y27" s="55"/>
    </row>
    <row r="28" spans="2:26" x14ac:dyDescent="0.2">
      <c r="R28" s="55"/>
      <c r="S28" s="55"/>
      <c r="T28" s="55"/>
      <c r="U28" s="55"/>
      <c r="V28" s="55"/>
      <c r="W28" s="55"/>
      <c r="X28" s="55"/>
      <c r="Y28" s="55"/>
    </row>
    <row r="29" spans="2:26" x14ac:dyDescent="0.2">
      <c r="R29" s="55"/>
      <c r="S29" s="55"/>
      <c r="T29" s="55"/>
      <c r="U29" s="55"/>
      <c r="V29" s="55"/>
      <c r="W29" s="55"/>
      <c r="X29" s="55"/>
      <c r="Y29" s="55"/>
    </row>
    <row r="30" spans="2:26" x14ac:dyDescent="0.2">
      <c r="R30" s="55"/>
      <c r="S30" s="55"/>
      <c r="T30" s="55"/>
      <c r="U30" s="55"/>
      <c r="V30" s="55"/>
      <c r="W30" s="55"/>
      <c r="X30" s="55"/>
      <c r="Y30" s="55"/>
    </row>
    <row r="31" spans="2:26" x14ac:dyDescent="0.2">
      <c r="R31" s="55"/>
      <c r="S31" s="55"/>
      <c r="T31" s="55"/>
      <c r="U31" s="55"/>
      <c r="V31" s="55"/>
      <c r="W31" s="55"/>
      <c r="X31" s="55"/>
      <c r="Y31" s="55"/>
    </row>
    <row r="32" spans="2:26" x14ac:dyDescent="0.2">
      <c r="R32" s="55"/>
      <c r="S32" s="55"/>
      <c r="T32" s="55"/>
      <c r="U32" s="55"/>
      <c r="V32" s="55"/>
      <c r="W32" s="55"/>
      <c r="X32" s="55"/>
      <c r="Y32" s="55"/>
    </row>
    <row r="33" spans="18:25" x14ac:dyDescent="0.2">
      <c r="R33" s="55"/>
      <c r="S33" s="55"/>
      <c r="T33" s="55"/>
      <c r="U33" s="55"/>
      <c r="V33" s="55"/>
      <c r="W33" s="55"/>
      <c r="X33" s="55"/>
      <c r="Y33" s="55"/>
    </row>
    <row r="34" spans="18:25" x14ac:dyDescent="0.2">
      <c r="R34" s="55"/>
      <c r="S34" s="55"/>
      <c r="T34" s="55"/>
      <c r="U34" s="55"/>
      <c r="V34" s="55"/>
      <c r="W34" s="55"/>
      <c r="X34" s="55"/>
      <c r="Y34" s="55"/>
    </row>
    <row r="35" spans="18:25" x14ac:dyDescent="0.2">
      <c r="R35" s="55"/>
      <c r="S35" s="55"/>
      <c r="T35" s="55"/>
      <c r="U35" s="55"/>
      <c r="V35" s="55"/>
      <c r="W35" s="55"/>
      <c r="X35" s="55"/>
      <c r="Y35" s="55"/>
    </row>
    <row r="36" spans="18:25" x14ac:dyDescent="0.2">
      <c r="R36" s="55"/>
      <c r="S36" s="55"/>
      <c r="T36" s="55"/>
      <c r="U36" s="55"/>
      <c r="V36" s="55"/>
      <c r="W36" s="55"/>
      <c r="X36" s="55"/>
      <c r="Y36" s="55"/>
    </row>
    <row r="37" spans="18:25" x14ac:dyDescent="0.2">
      <c r="R37" s="55"/>
      <c r="S37" s="55"/>
      <c r="T37" s="55"/>
      <c r="U37" s="55"/>
      <c r="V37" s="55"/>
      <c r="W37" s="55"/>
      <c r="X37" s="55"/>
      <c r="Y37" s="55"/>
    </row>
    <row r="38" spans="18:25" x14ac:dyDescent="0.2">
      <c r="R38" s="55"/>
      <c r="S38" s="55"/>
      <c r="T38" s="55"/>
      <c r="U38" s="55"/>
      <c r="V38" s="55"/>
      <c r="W38" s="55"/>
      <c r="X38" s="55"/>
      <c r="Y38" s="55"/>
    </row>
  </sheetData>
  <sortState xmlns:xlrd2="http://schemas.microsoft.com/office/spreadsheetml/2017/richdata2" ref="R10:R21">
    <sortCondition descending="1" ref="R10:R21"/>
  </sortState>
  <mergeCells count="13">
    <mergeCell ref="B1:N1"/>
    <mergeCell ref="B4:N4"/>
    <mergeCell ref="B3:N3"/>
    <mergeCell ref="K5:N5"/>
    <mergeCell ref="B5:B6"/>
    <mergeCell ref="G5:J5"/>
    <mergeCell ref="I6:J6"/>
    <mergeCell ref="E6:F6"/>
    <mergeCell ref="C6:D6"/>
    <mergeCell ref="G6:H6"/>
    <mergeCell ref="M6:N6"/>
    <mergeCell ref="C5:F5"/>
    <mergeCell ref="K6:L6"/>
  </mergeCells>
  <phoneticPr fontId="2" type="noConversion"/>
  <printOptions horizontalCentered="1" verticalCentered="1"/>
  <pageMargins left="0" right="0" top="0" bottom="0" header="0" footer="0"/>
  <pageSetup paperSize="9" scale="5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B1:V45"/>
  <sheetViews>
    <sheetView showGridLines="0" topLeftCell="A7" zoomScale="70" zoomScaleNormal="70" zoomScaleSheetLayoutView="100" zoomScalePageLayoutView="71" workbookViewId="0">
      <selection activeCell="G15" sqref="G15"/>
    </sheetView>
  </sheetViews>
  <sheetFormatPr baseColWidth="10" defaultColWidth="11.42578125" defaultRowHeight="12.75" x14ac:dyDescent="0.2"/>
  <cols>
    <col min="1" max="1" width="4" style="1" customWidth="1"/>
    <col min="2" max="2" width="30.7109375" style="1" customWidth="1"/>
    <col min="3" max="3" width="10.7109375" style="1" customWidth="1"/>
    <col min="4" max="4" width="5.5703125" style="1" customWidth="1"/>
    <col min="5" max="5" width="14.5703125" style="1" customWidth="1"/>
    <col min="6" max="6" width="4.7109375" style="1" customWidth="1"/>
    <col min="7" max="7" width="15.7109375" style="1" customWidth="1"/>
    <col min="8" max="8" width="3.7109375" style="1" customWidth="1"/>
    <col min="9" max="9" width="15.42578125" style="1" customWidth="1"/>
    <col min="10" max="10" width="3.7109375" style="1" customWidth="1"/>
    <col min="11" max="11" width="15.7109375" style="1" customWidth="1"/>
    <col min="12" max="12" width="6" style="1" customWidth="1"/>
    <col min="13" max="13" width="13.28515625" style="1" customWidth="1"/>
    <col min="14" max="14" width="7" style="1" customWidth="1"/>
    <col min="15" max="15" width="5" style="1" customWidth="1"/>
    <col min="16" max="16384" width="11.42578125" style="1"/>
  </cols>
  <sheetData>
    <row r="1" spans="2:22" ht="30" customHeight="1" x14ac:dyDescent="0.2">
      <c r="B1" s="691" t="s">
        <v>21</v>
      </c>
      <c r="C1" s="691"/>
      <c r="D1" s="691"/>
      <c r="E1" s="691"/>
      <c r="F1" s="691"/>
      <c r="G1" s="691"/>
      <c r="H1" s="691"/>
      <c r="I1" s="691"/>
      <c r="J1" s="691"/>
      <c r="K1" s="691"/>
      <c r="L1" s="691"/>
      <c r="M1" s="691"/>
      <c r="N1" s="691"/>
      <c r="O1" s="23"/>
    </row>
    <row r="2" spans="2:22" ht="30" customHeight="1" x14ac:dyDescent="0.2">
      <c r="B2" s="26" t="s">
        <v>145</v>
      </c>
      <c r="C2" s="25"/>
      <c r="D2" s="25"/>
      <c r="E2" s="25"/>
      <c r="F2" s="25"/>
      <c r="G2" s="25"/>
      <c r="H2" s="25"/>
      <c r="I2" s="25"/>
      <c r="J2" s="25"/>
      <c r="K2" s="25"/>
      <c r="L2" s="25"/>
      <c r="M2" s="25"/>
      <c r="N2" s="25"/>
    </row>
    <row r="3" spans="2:22" ht="59.25" customHeight="1" x14ac:dyDescent="0.2">
      <c r="B3" s="692" t="s">
        <v>185</v>
      </c>
      <c r="C3" s="692"/>
      <c r="D3" s="692"/>
      <c r="E3" s="692"/>
      <c r="F3" s="692"/>
      <c r="G3" s="692"/>
      <c r="H3" s="692"/>
      <c r="I3" s="692"/>
      <c r="J3" s="692"/>
      <c r="K3" s="692"/>
      <c r="L3" s="692"/>
      <c r="M3" s="692"/>
      <c r="N3" s="692"/>
    </row>
    <row r="4" spans="2:22" ht="30" customHeight="1" x14ac:dyDescent="0.2">
      <c r="B4" s="691">
        <v>2025</v>
      </c>
      <c r="C4" s="691"/>
      <c r="D4" s="691"/>
      <c r="E4" s="691"/>
      <c r="F4" s="691"/>
      <c r="G4" s="691"/>
      <c r="H4" s="691"/>
      <c r="I4" s="691"/>
      <c r="J4" s="691"/>
      <c r="K4" s="691"/>
      <c r="L4" s="691"/>
      <c r="M4" s="691"/>
      <c r="N4" s="691"/>
    </row>
    <row r="5" spans="2:22" ht="35.25" customHeight="1" x14ac:dyDescent="0.2">
      <c r="B5" s="709" t="s">
        <v>102</v>
      </c>
      <c r="C5" s="723" t="s">
        <v>2</v>
      </c>
      <c r="D5" s="729"/>
      <c r="E5" s="729"/>
      <c r="F5" s="729"/>
      <c r="G5" s="728" t="s">
        <v>15</v>
      </c>
      <c r="H5" s="728"/>
      <c r="I5" s="728"/>
      <c r="J5" s="728"/>
      <c r="K5" s="729" t="s">
        <v>12</v>
      </c>
      <c r="L5" s="729"/>
      <c r="M5" s="729"/>
      <c r="N5" s="730"/>
    </row>
    <row r="6" spans="2:22" ht="35.25" customHeight="1" x14ac:dyDescent="0.2">
      <c r="B6" s="709"/>
      <c r="C6" s="731" t="s">
        <v>63</v>
      </c>
      <c r="D6" s="731"/>
      <c r="E6" s="731" t="s">
        <v>5</v>
      </c>
      <c r="F6" s="732"/>
      <c r="G6" s="731" t="s">
        <v>63</v>
      </c>
      <c r="H6" s="731"/>
      <c r="I6" s="731" t="s">
        <v>5</v>
      </c>
      <c r="J6" s="732"/>
      <c r="K6" s="731" t="s">
        <v>63</v>
      </c>
      <c r="L6" s="731"/>
      <c r="M6" s="731" t="s">
        <v>5</v>
      </c>
      <c r="N6" s="731"/>
    </row>
    <row r="7" spans="2:22" ht="35.1" customHeight="1" x14ac:dyDescent="0.2">
      <c r="B7" s="400" t="s">
        <v>59</v>
      </c>
      <c r="C7" s="67">
        <v>8</v>
      </c>
      <c r="D7" s="67"/>
      <c r="E7" s="252">
        <f>C7*100/C10</f>
        <v>66.666666666666671</v>
      </c>
      <c r="F7" s="67"/>
      <c r="G7" s="67">
        <v>1639</v>
      </c>
      <c r="H7" s="67"/>
      <c r="I7" s="252">
        <f>G7*100/G10</f>
        <v>75.879629629629633</v>
      </c>
      <c r="J7" s="67"/>
      <c r="K7" s="67">
        <v>106824</v>
      </c>
      <c r="L7" s="67"/>
      <c r="M7" s="252">
        <f>K7*100/K10</f>
        <v>78.28916510318949</v>
      </c>
      <c r="N7" s="67"/>
    </row>
    <row r="8" spans="2:22" ht="35.1" customHeight="1" x14ac:dyDescent="0.2">
      <c r="B8" s="400" t="s">
        <v>140</v>
      </c>
      <c r="C8" s="67">
        <v>4</v>
      </c>
      <c r="D8" s="67"/>
      <c r="E8" s="252">
        <f>C8*100/C10</f>
        <v>33.333333333333336</v>
      </c>
      <c r="F8" s="67"/>
      <c r="G8" s="67">
        <v>521</v>
      </c>
      <c r="H8" s="67"/>
      <c r="I8" s="252">
        <f>G8*100/G10</f>
        <v>24.12037037037037</v>
      </c>
      <c r="J8" s="67"/>
      <c r="K8" s="67">
        <v>24664</v>
      </c>
      <c r="L8" s="67"/>
      <c r="M8" s="252">
        <f>K8*100/K10</f>
        <v>18.07575046904315</v>
      </c>
      <c r="N8" s="67"/>
    </row>
    <row r="9" spans="2:22" ht="35.1" customHeight="1" x14ac:dyDescent="0.2">
      <c r="B9" s="400" t="s">
        <v>60</v>
      </c>
      <c r="C9" s="67">
        <v>0</v>
      </c>
      <c r="D9" s="67"/>
      <c r="E9" s="252">
        <f>C9*100/C10</f>
        <v>0</v>
      </c>
      <c r="F9" s="67"/>
      <c r="G9" s="67">
        <v>0</v>
      </c>
      <c r="H9" s="67"/>
      <c r="I9" s="252">
        <f>G9*100/G10</f>
        <v>0</v>
      </c>
      <c r="J9" s="67"/>
      <c r="K9" s="67">
        <v>4960</v>
      </c>
      <c r="L9" s="67" t="s">
        <v>62</v>
      </c>
      <c r="M9" s="252">
        <f>K9*100/K10</f>
        <v>3.6350844277673544</v>
      </c>
      <c r="N9" s="67"/>
    </row>
    <row r="10" spans="2:22" s="3" customFormat="1" ht="38.25" customHeight="1" x14ac:dyDescent="0.2">
      <c r="B10" s="401" t="s">
        <v>6</v>
      </c>
      <c r="C10" s="402">
        <f>SUM(C7:C9)</f>
        <v>12</v>
      </c>
      <c r="D10" s="402"/>
      <c r="E10" s="403">
        <f>SUM(E7:E9)</f>
        <v>100</v>
      </c>
      <c r="F10" s="404"/>
      <c r="G10" s="402">
        <f>SUM(G7:G9)</f>
        <v>2160</v>
      </c>
      <c r="H10" s="402"/>
      <c r="I10" s="403">
        <f>SUM(I7:I9)</f>
        <v>100</v>
      </c>
      <c r="J10" s="404"/>
      <c r="K10" s="402">
        <f>SUM(K7:K9)</f>
        <v>136448</v>
      </c>
      <c r="L10" s="402"/>
      <c r="M10" s="403">
        <f>SUM(M7:M9)</f>
        <v>99.999999999999986</v>
      </c>
      <c r="N10" s="402"/>
    </row>
    <row r="11" spans="2:22" ht="29.25" customHeight="1" x14ac:dyDescent="0.2">
      <c r="B11" s="5" t="s">
        <v>224</v>
      </c>
      <c r="C11" s="6"/>
      <c r="D11" s="6"/>
      <c r="E11" s="6"/>
      <c r="F11" s="6"/>
      <c r="G11" s="7"/>
      <c r="H11" s="6"/>
      <c r="I11" s="6"/>
      <c r="Q11" s="8"/>
      <c r="R11" s="4"/>
      <c r="S11" s="8"/>
      <c r="T11" s="9"/>
      <c r="U11" s="8"/>
      <c r="V11" s="9"/>
    </row>
    <row r="12" spans="2:22" ht="29.25" customHeight="1" x14ac:dyDescent="0.2">
      <c r="B12" s="690" t="s">
        <v>257</v>
      </c>
      <c r="C12" s="690"/>
      <c r="D12" s="690"/>
      <c r="E12" s="690"/>
      <c r="F12" s="690"/>
      <c r="G12" s="690"/>
      <c r="H12" s="690"/>
      <c r="I12" s="690"/>
      <c r="J12" s="690"/>
      <c r="K12" s="690"/>
      <c r="L12" s="690"/>
      <c r="M12" s="690"/>
      <c r="R12" s="68"/>
      <c r="S12" s="69"/>
      <c r="T12" s="68"/>
      <c r="U12" s="69"/>
      <c r="V12" s="9"/>
    </row>
    <row r="13" spans="2:22" ht="29.25" customHeight="1" x14ac:dyDescent="0.2">
      <c r="B13" s="727" t="s">
        <v>245</v>
      </c>
      <c r="C13" s="727"/>
      <c r="D13" s="727"/>
      <c r="E13" s="727"/>
      <c r="F13" s="727"/>
      <c r="G13" s="727"/>
      <c r="H13" s="727"/>
      <c r="I13" s="727"/>
      <c r="J13" s="727"/>
      <c r="K13" s="727"/>
      <c r="L13" s="727"/>
      <c r="M13" s="727"/>
    </row>
    <row r="14" spans="2:22" ht="15" customHeight="1" x14ac:dyDescent="0.2">
      <c r="B14" s="675" t="s">
        <v>321</v>
      </c>
    </row>
    <row r="15" spans="2:22" ht="15" customHeight="1" x14ac:dyDescent="0.2">
      <c r="B15" s="54"/>
    </row>
    <row r="16" spans="2:22" s="21" customFormat="1" ht="35.1" customHeight="1" x14ac:dyDescent="0.2">
      <c r="B16" s="691" t="s">
        <v>22</v>
      </c>
      <c r="C16" s="691"/>
      <c r="D16" s="691"/>
      <c r="E16" s="691"/>
      <c r="F16" s="691"/>
      <c r="G16" s="691"/>
      <c r="H16" s="691"/>
      <c r="I16" s="691"/>
      <c r="J16" s="691"/>
      <c r="K16" s="691"/>
      <c r="L16" s="691"/>
      <c r="M16" s="691"/>
      <c r="N16" s="691"/>
    </row>
    <row r="17" spans="2:19" s="21" customFormat="1" ht="35.1" customHeight="1" x14ac:dyDescent="0.2">
      <c r="B17" s="26" t="s">
        <v>145</v>
      </c>
      <c r="C17" s="25"/>
      <c r="D17" s="25"/>
      <c r="E17" s="25"/>
      <c r="F17" s="25"/>
      <c r="G17" s="25"/>
      <c r="H17" s="25"/>
      <c r="I17" s="25"/>
      <c r="J17" s="25"/>
      <c r="K17" s="25"/>
      <c r="L17" s="25"/>
      <c r="M17" s="25"/>
      <c r="N17" s="50"/>
    </row>
    <row r="18" spans="2:19" s="21" customFormat="1" ht="35.1" customHeight="1" x14ac:dyDescent="0.2">
      <c r="B18" s="692" t="s">
        <v>193</v>
      </c>
      <c r="C18" s="692"/>
      <c r="D18" s="692"/>
      <c r="E18" s="692"/>
      <c r="F18" s="692"/>
      <c r="G18" s="692"/>
      <c r="H18" s="692"/>
      <c r="I18" s="692"/>
      <c r="J18" s="692"/>
      <c r="K18" s="692"/>
      <c r="L18" s="692"/>
      <c r="M18" s="692"/>
      <c r="N18" s="692"/>
    </row>
    <row r="19" spans="2:19" s="21" customFormat="1" ht="35.1" customHeight="1" x14ac:dyDescent="0.2">
      <c r="B19" s="691">
        <v>2025</v>
      </c>
      <c r="C19" s="691"/>
      <c r="D19" s="691"/>
      <c r="E19" s="691"/>
      <c r="F19" s="691"/>
      <c r="G19" s="691"/>
      <c r="H19" s="691"/>
      <c r="I19" s="691"/>
      <c r="J19" s="691"/>
      <c r="K19" s="691"/>
      <c r="L19" s="691"/>
      <c r="M19" s="691"/>
      <c r="N19" s="691"/>
    </row>
    <row r="20" spans="2:19" s="21" customFormat="1" ht="39" customHeight="1" x14ac:dyDescent="0.2">
      <c r="B20" s="709" t="s">
        <v>103</v>
      </c>
      <c r="C20" s="710" t="s">
        <v>2</v>
      </c>
      <c r="D20" s="711"/>
      <c r="E20" s="711"/>
      <c r="F20" s="711"/>
      <c r="G20" s="719" t="s">
        <v>15</v>
      </c>
      <c r="H20" s="735"/>
      <c r="I20" s="735"/>
      <c r="J20" s="736"/>
      <c r="K20" s="711" t="s">
        <v>12</v>
      </c>
      <c r="L20" s="711"/>
      <c r="M20" s="711"/>
      <c r="N20" s="711"/>
      <c r="P20" s="670"/>
      <c r="Q20" s="670"/>
      <c r="R20" s="670"/>
    </row>
    <row r="21" spans="2:19" s="21" customFormat="1" ht="35.1" customHeight="1" x14ac:dyDescent="0.2">
      <c r="B21" s="709"/>
      <c r="C21" s="721" t="s">
        <v>63</v>
      </c>
      <c r="D21" s="721"/>
      <c r="E21" s="717" t="s">
        <v>5</v>
      </c>
      <c r="F21" s="733"/>
      <c r="G21" s="721" t="s">
        <v>63</v>
      </c>
      <c r="H21" s="721"/>
      <c r="I21" s="717" t="s">
        <v>5</v>
      </c>
      <c r="J21" s="733"/>
      <c r="K21" s="721" t="s">
        <v>63</v>
      </c>
      <c r="L21" s="721"/>
      <c r="M21" s="721" t="s">
        <v>5</v>
      </c>
      <c r="N21" s="721"/>
      <c r="P21" s="670"/>
      <c r="Q21" s="670"/>
      <c r="R21" s="670"/>
    </row>
    <row r="22" spans="2:19" s="21" customFormat="1" ht="18" customHeight="1" x14ac:dyDescent="0.2">
      <c r="B22" s="388"/>
      <c r="C22" s="737"/>
      <c r="D22" s="737"/>
      <c r="E22" s="734"/>
      <c r="F22" s="734"/>
      <c r="G22" s="737"/>
      <c r="H22" s="737"/>
      <c r="I22" s="734"/>
      <c r="J22" s="734"/>
      <c r="K22" s="737"/>
      <c r="L22" s="737"/>
      <c r="M22" s="734"/>
      <c r="N22" s="734"/>
      <c r="O22" s="530"/>
      <c r="P22" s="670"/>
      <c r="Q22" s="670"/>
      <c r="R22" s="670"/>
      <c r="S22" s="530"/>
    </row>
    <row r="23" spans="2:19" s="21" customFormat="1" ht="30" customHeight="1" x14ac:dyDescent="0.2">
      <c r="B23" s="388" t="s">
        <v>134</v>
      </c>
      <c r="C23" s="70">
        <v>35</v>
      </c>
      <c r="D23" s="70"/>
      <c r="E23" s="734">
        <f>C23*100/C28</f>
        <v>60.344827586206897</v>
      </c>
      <c r="F23" s="734"/>
      <c r="G23" s="70">
        <v>34370</v>
      </c>
      <c r="H23" s="70"/>
      <c r="I23" s="734">
        <f>G23*100/G28</f>
        <v>46.217357394508241</v>
      </c>
      <c r="J23" s="734"/>
      <c r="K23" s="70">
        <v>2892070</v>
      </c>
      <c r="L23" s="70"/>
      <c r="M23" s="734">
        <f>K23*100/K28</f>
        <v>37.164852974928209</v>
      </c>
      <c r="N23" s="734"/>
      <c r="O23" s="530"/>
      <c r="P23" s="671"/>
      <c r="Q23" s="670"/>
      <c r="R23" s="670"/>
      <c r="S23" s="530"/>
    </row>
    <row r="24" spans="2:19" s="21" customFormat="1" ht="30" customHeight="1" x14ac:dyDescent="0.2">
      <c r="B24" s="388" t="s">
        <v>135</v>
      </c>
      <c r="C24" s="70">
        <v>8</v>
      </c>
      <c r="D24" s="70"/>
      <c r="E24" s="734">
        <f>C24*100/C28</f>
        <v>13.793103448275861</v>
      </c>
      <c r="F24" s="734"/>
      <c r="G24" s="70">
        <v>1997</v>
      </c>
      <c r="H24" s="70"/>
      <c r="I24" s="734">
        <f>G24*100/G28</f>
        <v>2.6853669687760537</v>
      </c>
      <c r="J24" s="734"/>
      <c r="K24" s="70">
        <v>219088</v>
      </c>
      <c r="L24" s="70"/>
      <c r="M24" s="734">
        <f>K24*100/K28</f>
        <v>2.815413634030667</v>
      </c>
      <c r="N24" s="734"/>
      <c r="O24" s="530"/>
      <c r="P24" s="671"/>
      <c r="Q24" s="670"/>
      <c r="R24" s="670"/>
      <c r="S24" s="530"/>
    </row>
    <row r="25" spans="2:19" s="21" customFormat="1" ht="30" customHeight="1" x14ac:dyDescent="0.2">
      <c r="B25" s="388" t="s">
        <v>203</v>
      </c>
      <c r="C25" s="70">
        <v>10</v>
      </c>
      <c r="D25" s="70"/>
      <c r="E25" s="734">
        <f>C25*100/C28</f>
        <v>17.241379310344829</v>
      </c>
      <c r="F25" s="734"/>
      <c r="G25" s="70">
        <v>1465</v>
      </c>
      <c r="H25" s="70"/>
      <c r="I25" s="734">
        <f>G25*100/G28</f>
        <v>1.969986284054541</v>
      </c>
      <c r="J25" s="734"/>
      <c r="K25" s="70">
        <v>115360</v>
      </c>
      <c r="L25" s="70"/>
      <c r="M25" s="734">
        <f>K25*100/K28</f>
        <v>1.48244594328205</v>
      </c>
      <c r="N25" s="734"/>
      <c r="O25" s="530"/>
      <c r="P25" s="671"/>
      <c r="Q25" s="670"/>
      <c r="R25" s="670"/>
      <c r="S25" s="530"/>
    </row>
    <row r="26" spans="2:19" s="21" customFormat="1" ht="30" customHeight="1" x14ac:dyDescent="0.2">
      <c r="B26" s="388" t="s">
        <v>213</v>
      </c>
      <c r="C26" s="70">
        <v>5</v>
      </c>
      <c r="D26" s="70"/>
      <c r="E26" s="734">
        <f>C26*100/C28</f>
        <v>8.6206896551724146</v>
      </c>
      <c r="F26" s="734"/>
      <c r="G26" s="70">
        <v>36534</v>
      </c>
      <c r="H26" s="70"/>
      <c r="I26" s="734">
        <f>G26*100/G28</f>
        <v>49.127289352661165</v>
      </c>
      <c r="J26" s="734"/>
      <c r="K26" s="70">
        <v>4555216</v>
      </c>
      <c r="L26" s="70"/>
      <c r="M26" s="734">
        <f>K26*100/K28</f>
        <v>58.53728744775907</v>
      </c>
      <c r="N26" s="734"/>
      <c r="O26" s="530"/>
      <c r="P26" s="671"/>
      <c r="Q26" s="670"/>
      <c r="R26" s="670"/>
      <c r="S26" s="530"/>
    </row>
    <row r="27" spans="2:19" s="21" customFormat="1" x14ac:dyDescent="0.2">
      <c r="B27" s="388"/>
      <c r="C27" s="744"/>
      <c r="D27" s="737"/>
      <c r="E27" s="738"/>
      <c r="F27" s="734"/>
      <c r="G27" s="744"/>
      <c r="H27" s="737"/>
      <c r="I27" s="738"/>
      <c r="J27" s="734"/>
      <c r="K27" s="744"/>
      <c r="L27" s="737"/>
      <c r="M27" s="738"/>
      <c r="N27" s="734"/>
      <c r="O27" s="530"/>
      <c r="P27" s="671"/>
      <c r="Q27" s="670"/>
      <c r="R27" s="670"/>
      <c r="S27" s="530"/>
    </row>
    <row r="28" spans="2:19" s="71" customFormat="1" ht="39.75" customHeight="1" x14ac:dyDescent="0.2">
      <c r="B28" s="380" t="s">
        <v>6</v>
      </c>
      <c r="C28" s="740">
        <f>SUM(C23:C27)</f>
        <v>58</v>
      </c>
      <c r="D28" s="740"/>
      <c r="E28" s="741">
        <f>SUM(E23:F27)</f>
        <v>100</v>
      </c>
      <c r="F28" s="742"/>
      <c r="G28" s="740">
        <f>SUM(G23:G27)</f>
        <v>74366</v>
      </c>
      <c r="H28" s="740"/>
      <c r="I28" s="739">
        <f>SUM(I23:I27)</f>
        <v>100</v>
      </c>
      <c r="J28" s="743"/>
      <c r="K28" s="740">
        <f>SUM(K23:L27)</f>
        <v>7781734</v>
      </c>
      <c r="L28" s="740"/>
      <c r="M28" s="739">
        <f>SUM(M23:M27)</f>
        <v>100</v>
      </c>
      <c r="N28" s="739"/>
      <c r="O28" s="531"/>
      <c r="P28" s="672"/>
      <c r="Q28" s="672"/>
      <c r="R28" s="672"/>
      <c r="S28" s="531"/>
    </row>
    <row r="29" spans="2:19" ht="27" customHeight="1" x14ac:dyDescent="0.2">
      <c r="B29" s="5" t="s">
        <v>224</v>
      </c>
      <c r="C29" s="6"/>
      <c r="D29" s="6"/>
      <c r="E29" s="6"/>
      <c r="F29" s="6"/>
      <c r="G29" s="7"/>
      <c r="H29" s="6"/>
      <c r="I29" s="6"/>
      <c r="O29" s="76"/>
      <c r="P29" s="214"/>
      <c r="Q29" s="214"/>
      <c r="R29" s="214"/>
      <c r="S29" s="76"/>
    </row>
    <row r="30" spans="2:19" ht="28.15" customHeight="1" x14ac:dyDescent="0.2">
      <c r="B30" s="690" t="s">
        <v>257</v>
      </c>
      <c r="C30" s="690"/>
      <c r="D30" s="690"/>
      <c r="E30" s="690"/>
      <c r="F30" s="690"/>
      <c r="G30" s="690"/>
      <c r="H30" s="690"/>
      <c r="I30" s="690"/>
      <c r="J30" s="690"/>
      <c r="K30" s="690"/>
      <c r="L30" s="690"/>
      <c r="M30" s="690"/>
      <c r="N30" s="11"/>
      <c r="O30" s="532"/>
      <c r="P30" s="214"/>
      <c r="Q30" s="214"/>
      <c r="R30" s="214"/>
      <c r="S30" s="76"/>
    </row>
    <row r="31" spans="2:19" ht="23.45" customHeight="1" x14ac:dyDescent="0.2">
      <c r="B31" s="727" t="s">
        <v>245</v>
      </c>
      <c r="C31" s="727"/>
      <c r="D31" s="727"/>
      <c r="E31" s="727"/>
      <c r="F31" s="727"/>
      <c r="G31" s="727"/>
      <c r="H31" s="727"/>
      <c r="I31" s="727"/>
      <c r="J31" s="727"/>
      <c r="K31" s="727"/>
      <c r="L31" s="727"/>
      <c r="M31" s="727"/>
      <c r="N31" s="16"/>
      <c r="O31" s="79"/>
      <c r="P31" s="214"/>
      <c r="Q31" s="214"/>
      <c r="R31" s="214"/>
      <c r="S31" s="76"/>
    </row>
    <row r="32" spans="2:19" x14ac:dyDescent="0.2">
      <c r="H32" s="72"/>
      <c r="I32" s="72"/>
      <c r="J32" s="72"/>
      <c r="K32" s="72"/>
      <c r="L32" s="72"/>
      <c r="M32" s="72"/>
      <c r="N32" s="72"/>
      <c r="O32" s="533"/>
      <c r="P32" s="214"/>
      <c r="Q32" s="214"/>
      <c r="R32" s="214"/>
      <c r="S32" s="76"/>
    </row>
    <row r="33" spans="15:19" s="38" customFormat="1" x14ac:dyDescent="0.2">
      <c r="O33" s="45"/>
      <c r="P33" s="669"/>
      <c r="Q33" s="669"/>
      <c r="R33" s="669"/>
      <c r="S33" s="45"/>
    </row>
    <row r="34" spans="15:19" ht="20.100000000000001" customHeight="1" x14ac:dyDescent="0.2">
      <c r="O34" s="76"/>
      <c r="P34" s="76"/>
      <c r="Q34" s="76"/>
      <c r="R34" s="76"/>
      <c r="S34" s="76"/>
    </row>
    <row r="35" spans="15:19" ht="20.100000000000001" customHeight="1" x14ac:dyDescent="0.2"/>
    <row r="36" spans="15:19" ht="20.100000000000001" customHeight="1" x14ac:dyDescent="0.2"/>
    <row r="37" spans="15:19" ht="20.100000000000001" customHeight="1" x14ac:dyDescent="0.2"/>
    <row r="38" spans="15:19" ht="20.100000000000001" customHeight="1" x14ac:dyDescent="0.2"/>
    <row r="39" spans="15:19" ht="20.100000000000001" customHeight="1" x14ac:dyDescent="0.2"/>
    <row r="40" spans="15:19" ht="20.100000000000001" customHeight="1" x14ac:dyDescent="0.2"/>
    <row r="41" spans="15:19" ht="20.100000000000001" customHeight="1" x14ac:dyDescent="0.2"/>
    <row r="42" spans="15:19" ht="20.100000000000001" customHeight="1" x14ac:dyDescent="0.2"/>
    <row r="43" spans="15:19" ht="20.100000000000001" customHeight="1" x14ac:dyDescent="0.2"/>
    <row r="44" spans="15:19" ht="20.100000000000001" customHeight="1" x14ac:dyDescent="0.2"/>
    <row r="45" spans="15:19" ht="20.100000000000001" customHeight="1" x14ac:dyDescent="0.2"/>
  </sheetData>
  <mergeCells count="60">
    <mergeCell ref="M27:N27"/>
    <mergeCell ref="B30:M30"/>
    <mergeCell ref="B31:M31"/>
    <mergeCell ref="M28:N28"/>
    <mergeCell ref="C28:D28"/>
    <mergeCell ref="E28:F28"/>
    <mergeCell ref="G28:H28"/>
    <mergeCell ref="I28:J28"/>
    <mergeCell ref="K28:L28"/>
    <mergeCell ref="C27:D27"/>
    <mergeCell ref="E27:F27"/>
    <mergeCell ref="G27:H27"/>
    <mergeCell ref="I27:J27"/>
    <mergeCell ref="K27:L27"/>
    <mergeCell ref="E24:F24"/>
    <mergeCell ref="I24:J24"/>
    <mergeCell ref="M24:N24"/>
    <mergeCell ref="M26:N26"/>
    <mergeCell ref="E26:F26"/>
    <mergeCell ref="I26:J26"/>
    <mergeCell ref="E25:F25"/>
    <mergeCell ref="I25:J25"/>
    <mergeCell ref="M25:N25"/>
    <mergeCell ref="M22:N22"/>
    <mergeCell ref="K21:L21"/>
    <mergeCell ref="I22:J22"/>
    <mergeCell ref="E23:F23"/>
    <mergeCell ref="I23:J23"/>
    <mergeCell ref="M23:N23"/>
    <mergeCell ref="B16:N16"/>
    <mergeCell ref="B18:N18"/>
    <mergeCell ref="C21:D21"/>
    <mergeCell ref="E21:F21"/>
    <mergeCell ref="E22:F22"/>
    <mergeCell ref="M21:N21"/>
    <mergeCell ref="B19:N19"/>
    <mergeCell ref="B20:B21"/>
    <mergeCell ref="C20:F20"/>
    <mergeCell ref="G20:J20"/>
    <mergeCell ref="K20:N20"/>
    <mergeCell ref="G22:H22"/>
    <mergeCell ref="G21:H21"/>
    <mergeCell ref="I21:J21"/>
    <mergeCell ref="K22:L22"/>
    <mergeCell ref="C22:D22"/>
    <mergeCell ref="B12:M12"/>
    <mergeCell ref="B13:M13"/>
    <mergeCell ref="B4:N4"/>
    <mergeCell ref="B1:N1"/>
    <mergeCell ref="G5:J5"/>
    <mergeCell ref="K5:N5"/>
    <mergeCell ref="B3:N3"/>
    <mergeCell ref="B5:B6"/>
    <mergeCell ref="I6:J6"/>
    <mergeCell ref="M6:N6"/>
    <mergeCell ref="C5:F5"/>
    <mergeCell ref="C6:D6"/>
    <mergeCell ref="E6:F6"/>
    <mergeCell ref="K6:L6"/>
    <mergeCell ref="G6:H6"/>
  </mergeCells>
  <phoneticPr fontId="2" type="noConversion"/>
  <printOptions horizontalCentered="1" verticalCentered="1"/>
  <pageMargins left="0" right="0" top="0" bottom="0" header="0" footer="0"/>
  <pageSetup paperSize="9" scale="55" orientation="portrait" r:id="rId1"/>
  <headerFooter alignWithMargins="0"/>
  <ignoredErrors>
    <ignoredError sqref="E27:F27 E23:F24 F26"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B1:AH44"/>
  <sheetViews>
    <sheetView showGridLines="0" zoomScale="55" zoomScaleNormal="55" zoomScaleSheetLayoutView="87" workbookViewId="0">
      <selection activeCell="B42" sqref="B42:H42"/>
    </sheetView>
  </sheetViews>
  <sheetFormatPr baseColWidth="10" defaultColWidth="11.42578125" defaultRowHeight="15" customHeight="1" x14ac:dyDescent="0.2"/>
  <cols>
    <col min="1" max="1" width="7.42578125" style="1" customWidth="1"/>
    <col min="2" max="2" width="49.28515625" style="1" customWidth="1"/>
    <col min="3" max="3" width="18.7109375" style="53" customWidth="1"/>
    <col min="4" max="4" width="7.7109375" style="1" customWidth="1"/>
    <col min="5" max="5" width="24.7109375" style="82" customWidth="1"/>
    <col min="6" max="6" width="5.7109375" style="1" customWidth="1"/>
    <col min="7" max="7" width="30.7109375" style="1" customWidth="1"/>
    <col min="8" max="8" width="7.7109375" style="7" customWidth="1"/>
    <col min="9" max="9" width="3.7109375" style="1" customWidth="1"/>
    <col min="10" max="16384" width="11.42578125" style="1"/>
  </cols>
  <sheetData>
    <row r="1" spans="2:32" ht="31.5" customHeight="1" x14ac:dyDescent="0.2">
      <c r="B1" s="691" t="s">
        <v>23</v>
      </c>
      <c r="C1" s="691"/>
      <c r="D1" s="691"/>
      <c r="E1" s="691"/>
      <c r="F1" s="691"/>
      <c r="G1" s="691"/>
      <c r="H1" s="691"/>
      <c r="I1" s="73"/>
      <c r="J1" s="73"/>
    </row>
    <row r="2" spans="2:32" ht="25.5" customHeight="1" x14ac:dyDescent="0.2">
      <c r="B2" s="73" t="s">
        <v>145</v>
      </c>
      <c r="D2" s="53"/>
      <c r="E2" s="53"/>
      <c r="F2" s="53"/>
      <c r="G2" s="53"/>
      <c r="H2" s="53"/>
      <c r="K2" s="214"/>
      <c r="L2" s="214"/>
      <c r="M2" s="214"/>
      <c r="N2" s="214"/>
      <c r="O2" s="214"/>
      <c r="P2" s="214"/>
      <c r="Q2" s="214"/>
      <c r="R2" s="214"/>
      <c r="S2" s="214"/>
      <c r="T2" s="214"/>
      <c r="U2" s="214"/>
      <c r="V2" s="214"/>
      <c r="W2" s="214"/>
      <c r="X2" s="214"/>
      <c r="Y2" s="214"/>
      <c r="Z2" s="214"/>
      <c r="AA2" s="214"/>
      <c r="AB2" s="214"/>
    </row>
    <row r="3" spans="2:32" ht="30" customHeight="1" x14ac:dyDescent="0.2">
      <c r="B3" s="692" t="s">
        <v>248</v>
      </c>
      <c r="C3" s="692"/>
      <c r="D3" s="692"/>
      <c r="E3" s="692"/>
      <c r="F3" s="692"/>
      <c r="G3" s="692"/>
      <c r="H3" s="692"/>
      <c r="I3" s="74"/>
      <c r="J3" s="75"/>
      <c r="K3" s="214"/>
      <c r="L3" s="214"/>
      <c r="M3" s="214"/>
      <c r="N3" s="214"/>
      <c r="O3" s="214"/>
      <c r="P3" s="214"/>
      <c r="Q3" s="214"/>
      <c r="R3" s="214"/>
      <c r="S3" s="214"/>
      <c r="T3" s="214"/>
      <c r="U3" s="214"/>
      <c r="V3" s="214"/>
      <c r="W3" s="214"/>
      <c r="X3" s="214"/>
      <c r="Y3" s="214"/>
      <c r="Z3" s="214"/>
      <c r="AA3" s="214"/>
      <c r="AB3" s="214"/>
      <c r="AC3" s="76"/>
      <c r="AD3" s="76"/>
      <c r="AE3" s="76"/>
      <c r="AF3" s="76"/>
    </row>
    <row r="4" spans="2:32" ht="30" customHeight="1" x14ac:dyDescent="0.2">
      <c r="B4" s="746" t="s">
        <v>289</v>
      </c>
      <c r="C4" s="747"/>
      <c r="D4" s="747"/>
      <c r="E4" s="747"/>
      <c r="F4" s="747"/>
      <c r="G4" s="747"/>
      <c r="H4" s="747"/>
      <c r="I4" s="77"/>
      <c r="J4" s="78"/>
      <c r="K4" s="214"/>
      <c r="L4" s="214"/>
      <c r="M4" s="214"/>
      <c r="N4" s="214"/>
      <c r="O4" s="214"/>
      <c r="P4" s="214"/>
      <c r="Q4" s="214"/>
      <c r="R4" s="214"/>
      <c r="S4" s="214"/>
      <c r="T4" s="214"/>
      <c r="U4" s="214"/>
      <c r="V4" s="214"/>
      <c r="W4" s="214"/>
      <c r="X4" s="214"/>
      <c r="Y4" s="214"/>
      <c r="Z4" s="214"/>
      <c r="AA4" s="214"/>
      <c r="AB4" s="214"/>
      <c r="AC4" s="76"/>
      <c r="AD4" s="76"/>
      <c r="AE4" s="76"/>
      <c r="AF4" s="76"/>
    </row>
    <row r="5" spans="2:32" ht="44.65" customHeight="1" x14ac:dyDescent="0.2">
      <c r="B5" s="261" t="s">
        <v>238</v>
      </c>
      <c r="C5" s="708" t="s">
        <v>2</v>
      </c>
      <c r="D5" s="708"/>
      <c r="E5" s="748" t="s">
        <v>15</v>
      </c>
      <c r="F5" s="749"/>
      <c r="G5" s="750" t="s">
        <v>12</v>
      </c>
      <c r="H5" s="751"/>
      <c r="J5" s="76"/>
      <c r="K5" s="214"/>
      <c r="L5" s="214"/>
      <c r="M5" s="214"/>
      <c r="N5" s="214"/>
      <c r="O5" s="214"/>
      <c r="P5" s="214"/>
      <c r="Q5" s="214"/>
      <c r="R5" s="214"/>
      <c r="S5" s="214"/>
      <c r="T5" s="214"/>
      <c r="U5" s="214"/>
      <c r="V5" s="214"/>
      <c r="W5" s="214"/>
      <c r="X5" s="214"/>
      <c r="Y5" s="214"/>
      <c r="Z5" s="214"/>
      <c r="AA5" s="214"/>
      <c r="AB5" s="214"/>
      <c r="AC5" s="76"/>
      <c r="AD5" s="76"/>
      <c r="AE5" s="76"/>
      <c r="AF5" s="76"/>
    </row>
    <row r="6" spans="2:32" s="16" customFormat="1" ht="13.9" customHeight="1" x14ac:dyDescent="0.2">
      <c r="B6" s="378"/>
      <c r="C6" s="253"/>
      <c r="D6" s="254"/>
      <c r="E6" s="255"/>
      <c r="F6" s="254"/>
      <c r="G6" s="255"/>
      <c r="H6" s="18"/>
      <c r="J6" s="79"/>
      <c r="K6" s="673"/>
      <c r="L6" s="673"/>
      <c r="M6" s="673"/>
      <c r="N6" s="673"/>
      <c r="O6" s="673"/>
      <c r="P6" s="673"/>
      <c r="Q6" s="673"/>
      <c r="R6" s="673"/>
      <c r="S6" s="673"/>
      <c r="T6" s="673"/>
      <c r="U6" s="673"/>
      <c r="V6" s="673"/>
      <c r="W6" s="673"/>
      <c r="X6" s="673"/>
      <c r="Y6" s="673"/>
      <c r="Z6" s="673"/>
      <c r="AA6" s="673"/>
      <c r="AB6" s="673"/>
      <c r="AC6" s="79"/>
      <c r="AD6" s="79"/>
      <c r="AE6" s="79"/>
      <c r="AF6" s="79"/>
    </row>
    <row r="7" spans="2:32" ht="30" customHeight="1" x14ac:dyDescent="0.2">
      <c r="B7" s="523" t="s">
        <v>298</v>
      </c>
      <c r="C7" s="526">
        <v>1</v>
      </c>
      <c r="D7" s="256"/>
      <c r="E7" s="524">
        <v>85</v>
      </c>
      <c r="F7" s="256"/>
      <c r="G7" s="257">
        <v>2040</v>
      </c>
      <c r="H7" s="213"/>
      <c r="J7" s="76"/>
      <c r="K7" s="214"/>
      <c r="L7" s="214"/>
      <c r="M7" s="214"/>
      <c r="N7" s="214"/>
      <c r="O7" s="214"/>
      <c r="P7" s="214"/>
      <c r="Q7" s="214"/>
      <c r="R7" s="214"/>
      <c r="S7" s="214"/>
      <c r="T7" s="214"/>
      <c r="U7" s="214"/>
      <c r="V7" s="214"/>
      <c r="W7" s="214"/>
      <c r="X7" s="214"/>
      <c r="Y7" s="214"/>
      <c r="Z7" s="214"/>
      <c r="AA7" s="214"/>
      <c r="AB7" s="214"/>
    </row>
    <row r="8" spans="2:32" ht="30" customHeight="1" x14ac:dyDescent="0.2">
      <c r="B8" s="378" t="s">
        <v>299</v>
      </c>
      <c r="C8" s="253">
        <v>1</v>
      </c>
      <c r="D8" s="258"/>
      <c r="E8" s="525">
        <v>85</v>
      </c>
      <c r="F8" s="258"/>
      <c r="G8" s="259">
        <v>2040</v>
      </c>
      <c r="H8" s="260"/>
      <c r="J8" s="76"/>
      <c r="K8" s="214"/>
      <c r="L8" s="214"/>
      <c r="M8" s="214"/>
      <c r="N8" s="214"/>
      <c r="O8" s="214"/>
      <c r="P8" s="214"/>
      <c r="Q8" s="214"/>
      <c r="R8" s="214"/>
      <c r="S8" s="214"/>
      <c r="T8" s="214"/>
      <c r="U8" s="214"/>
      <c r="V8" s="214"/>
      <c r="W8" s="214"/>
      <c r="X8" s="214"/>
      <c r="Y8" s="214"/>
      <c r="Z8" s="214"/>
      <c r="AA8" s="214"/>
      <c r="AB8" s="214"/>
    </row>
    <row r="9" spans="2:32" ht="30" customHeight="1" x14ac:dyDescent="0.2">
      <c r="B9" s="523" t="s">
        <v>267</v>
      </c>
      <c r="C9" s="526">
        <v>3</v>
      </c>
      <c r="D9" s="256"/>
      <c r="E9" s="524">
        <v>235</v>
      </c>
      <c r="F9" s="256"/>
      <c r="G9" s="257">
        <v>2280</v>
      </c>
      <c r="H9" s="213"/>
      <c r="J9" s="76"/>
      <c r="K9" s="214"/>
      <c r="L9" s="214"/>
      <c r="M9" s="214"/>
      <c r="N9" s="214"/>
      <c r="O9" s="214"/>
      <c r="P9" s="214"/>
      <c r="Q9" s="214"/>
      <c r="R9" s="214"/>
      <c r="S9" s="214"/>
      <c r="T9" s="214"/>
      <c r="U9" s="214"/>
      <c r="V9" s="214"/>
      <c r="W9" s="214"/>
      <c r="X9" s="214"/>
      <c r="Y9" s="214"/>
      <c r="Z9" s="214"/>
      <c r="AA9" s="214"/>
      <c r="AB9" s="214"/>
    </row>
    <row r="10" spans="2:32" ht="30" customHeight="1" x14ac:dyDescent="0.2">
      <c r="B10" s="378" t="s">
        <v>300</v>
      </c>
      <c r="C10" s="253">
        <v>3</v>
      </c>
      <c r="D10" s="258"/>
      <c r="E10" s="525">
        <v>235</v>
      </c>
      <c r="F10" s="258"/>
      <c r="G10" s="259">
        <v>2280</v>
      </c>
      <c r="H10" s="260"/>
      <c r="J10" s="76"/>
      <c r="K10" s="214"/>
      <c r="L10" s="214"/>
      <c r="M10" s="214"/>
      <c r="N10" s="214"/>
      <c r="O10" s="214"/>
      <c r="P10" s="214"/>
      <c r="Q10" s="214"/>
      <c r="R10" s="214"/>
      <c r="S10" s="214"/>
      <c r="T10" s="214"/>
      <c r="U10" s="214"/>
      <c r="V10" s="214"/>
      <c r="W10" s="214"/>
      <c r="X10" s="214"/>
      <c r="Y10" s="214"/>
      <c r="Z10" s="214"/>
      <c r="AA10" s="214"/>
      <c r="AB10" s="214"/>
    </row>
    <row r="11" spans="2:32" ht="30" customHeight="1" x14ac:dyDescent="0.2">
      <c r="B11" s="523" t="s">
        <v>243</v>
      </c>
      <c r="C11" s="526">
        <v>9</v>
      </c>
      <c r="D11" s="256"/>
      <c r="E11" s="524">
        <v>1205</v>
      </c>
      <c r="F11" s="256"/>
      <c r="G11" s="257">
        <v>79336</v>
      </c>
      <c r="H11" s="213"/>
      <c r="J11" s="76"/>
      <c r="K11" s="214"/>
      <c r="L11" s="214"/>
      <c r="M11" s="214"/>
      <c r="N11" s="214"/>
      <c r="O11" s="214"/>
      <c r="P11" s="214"/>
      <c r="Q11" s="214"/>
      <c r="R11" s="214"/>
      <c r="S11" s="214"/>
      <c r="T11" s="214"/>
      <c r="U11" s="214"/>
      <c r="V11" s="214"/>
      <c r="W11" s="214"/>
      <c r="X11" s="214"/>
      <c r="Y11" s="214"/>
      <c r="Z11" s="214"/>
      <c r="AA11" s="214"/>
      <c r="AB11" s="214"/>
    </row>
    <row r="12" spans="2:32" ht="30" customHeight="1" x14ac:dyDescent="0.2">
      <c r="B12" s="378" t="s">
        <v>301</v>
      </c>
      <c r="C12" s="253">
        <v>9</v>
      </c>
      <c r="D12" s="258"/>
      <c r="E12" s="525">
        <v>1205</v>
      </c>
      <c r="F12" s="258"/>
      <c r="G12" s="259">
        <v>79336</v>
      </c>
      <c r="H12" s="260"/>
      <c r="J12" s="76"/>
      <c r="K12" s="214"/>
      <c r="L12" s="214"/>
      <c r="M12" s="214"/>
      <c r="N12" s="214"/>
      <c r="O12" s="214"/>
      <c r="P12" s="214"/>
      <c r="Q12" s="214"/>
      <c r="R12" s="214"/>
      <c r="S12" s="214"/>
      <c r="T12" s="214"/>
      <c r="U12" s="214"/>
      <c r="V12" s="214"/>
      <c r="W12" s="214"/>
      <c r="X12" s="214"/>
      <c r="Y12" s="214"/>
      <c r="Z12" s="214"/>
      <c r="AA12" s="214"/>
      <c r="AB12" s="214"/>
    </row>
    <row r="13" spans="2:32" ht="30" customHeight="1" x14ac:dyDescent="0.2">
      <c r="B13" s="523" t="s">
        <v>302</v>
      </c>
      <c r="C13" s="526">
        <v>1</v>
      </c>
      <c r="D13" s="256"/>
      <c r="E13" s="524">
        <v>400</v>
      </c>
      <c r="F13" s="256"/>
      <c r="G13" s="257">
        <v>12800</v>
      </c>
      <c r="H13" s="213"/>
      <c r="J13" s="76"/>
      <c r="K13" s="214"/>
      <c r="L13" s="214"/>
      <c r="M13" s="214"/>
      <c r="N13" s="214"/>
      <c r="O13" s="214"/>
      <c r="P13" s="214"/>
      <c r="Q13" s="214"/>
      <c r="R13" s="214"/>
      <c r="S13" s="214"/>
      <c r="T13" s="214"/>
      <c r="U13" s="214"/>
      <c r="V13" s="214"/>
      <c r="W13" s="214"/>
      <c r="X13" s="214"/>
      <c r="Y13" s="214"/>
      <c r="Z13" s="214"/>
      <c r="AA13" s="214"/>
      <c r="AB13" s="214"/>
    </row>
    <row r="14" spans="2:32" ht="30" customHeight="1" x14ac:dyDescent="0.2">
      <c r="B14" s="378" t="s">
        <v>303</v>
      </c>
      <c r="C14" s="253">
        <v>1</v>
      </c>
      <c r="D14" s="258"/>
      <c r="E14" s="525">
        <v>400</v>
      </c>
      <c r="F14" s="258"/>
      <c r="G14" s="259">
        <v>12800</v>
      </c>
      <c r="H14" s="260"/>
      <c r="J14" s="76"/>
      <c r="K14" s="214"/>
      <c r="L14" s="214"/>
      <c r="M14" s="214"/>
      <c r="N14" s="214"/>
      <c r="O14" s="214"/>
      <c r="P14" s="214"/>
      <c r="Q14" s="214"/>
      <c r="R14" s="214"/>
      <c r="S14" s="214"/>
      <c r="T14" s="214"/>
      <c r="U14" s="214"/>
      <c r="V14" s="214"/>
      <c r="W14" s="214"/>
      <c r="X14" s="214"/>
      <c r="Y14" s="214"/>
      <c r="Z14" s="214"/>
      <c r="AA14" s="214"/>
      <c r="AB14" s="214"/>
    </row>
    <row r="15" spans="2:32" ht="30" customHeight="1" x14ac:dyDescent="0.2">
      <c r="B15" s="676" t="s">
        <v>304</v>
      </c>
      <c r="C15" s="528">
        <v>2</v>
      </c>
      <c r="D15" s="256"/>
      <c r="E15" s="524">
        <v>380</v>
      </c>
      <c r="F15" s="256"/>
      <c r="G15" s="257">
        <v>3040</v>
      </c>
      <c r="H15" s="260"/>
      <c r="J15" s="76"/>
      <c r="K15" s="214"/>
      <c r="L15" s="214"/>
      <c r="M15" s="214"/>
      <c r="N15" s="214"/>
      <c r="O15" s="214"/>
      <c r="P15" s="214"/>
      <c r="Q15" s="214"/>
      <c r="R15" s="214"/>
      <c r="S15" s="214"/>
      <c r="T15" s="214"/>
      <c r="U15" s="214"/>
      <c r="V15" s="214"/>
      <c r="W15" s="214"/>
      <c r="X15" s="214"/>
      <c r="Y15" s="214"/>
      <c r="Z15" s="214"/>
      <c r="AA15" s="214"/>
      <c r="AB15" s="214"/>
    </row>
    <row r="16" spans="2:32" ht="30" customHeight="1" x14ac:dyDescent="0.2">
      <c r="B16" s="378" t="s">
        <v>305</v>
      </c>
      <c r="C16" s="253">
        <v>2</v>
      </c>
      <c r="D16" s="258"/>
      <c r="E16" s="525">
        <v>380</v>
      </c>
      <c r="F16" s="258"/>
      <c r="G16" s="259">
        <v>3040</v>
      </c>
      <c r="H16" s="260"/>
      <c r="J16" s="76"/>
      <c r="K16" s="214"/>
      <c r="L16" s="214"/>
      <c r="M16" s="214"/>
      <c r="N16" s="214"/>
      <c r="O16" s="214"/>
      <c r="P16" s="214"/>
      <c r="Q16" s="214"/>
      <c r="R16" s="214"/>
      <c r="S16" s="214"/>
      <c r="T16" s="214"/>
      <c r="U16" s="214"/>
      <c r="V16" s="214"/>
      <c r="W16" s="214"/>
      <c r="X16" s="214"/>
      <c r="Y16" s="214"/>
      <c r="Z16" s="214"/>
      <c r="AA16" s="214"/>
      <c r="AB16" s="214"/>
    </row>
    <row r="17" spans="2:28" ht="30" customHeight="1" x14ac:dyDescent="0.2">
      <c r="B17" s="523" t="s">
        <v>221</v>
      </c>
      <c r="C17" s="526">
        <v>0</v>
      </c>
      <c r="D17" s="256"/>
      <c r="E17" s="524">
        <v>0</v>
      </c>
      <c r="F17" s="256"/>
      <c r="G17" s="257">
        <v>28136</v>
      </c>
      <c r="H17" s="213"/>
      <c r="J17" s="76"/>
      <c r="K17" s="214"/>
      <c r="L17" s="214"/>
      <c r="M17" s="214"/>
      <c r="N17" s="214"/>
      <c r="O17" s="214"/>
      <c r="P17" s="214"/>
      <c r="Q17" s="214"/>
      <c r="R17" s="214"/>
      <c r="S17" s="214"/>
      <c r="T17" s="214"/>
      <c r="U17" s="214"/>
      <c r="V17" s="214"/>
      <c r="W17" s="214"/>
      <c r="X17" s="214"/>
      <c r="Y17" s="214"/>
      <c r="Z17" s="214"/>
      <c r="AA17" s="214"/>
      <c r="AB17" s="214"/>
    </row>
    <row r="18" spans="2:28" ht="30" customHeight="1" x14ac:dyDescent="0.2">
      <c r="B18" s="378" t="s">
        <v>306</v>
      </c>
      <c r="C18" s="253">
        <v>0</v>
      </c>
      <c r="D18" s="258"/>
      <c r="E18" s="525">
        <v>0</v>
      </c>
      <c r="F18" s="258"/>
      <c r="G18" s="259">
        <v>28136</v>
      </c>
      <c r="H18" s="260" t="s">
        <v>62</v>
      </c>
      <c r="J18" s="76"/>
      <c r="K18" s="214"/>
      <c r="L18" s="214"/>
      <c r="M18" s="214"/>
      <c r="N18" s="214"/>
      <c r="O18" s="214"/>
      <c r="P18" s="214"/>
      <c r="Q18" s="214"/>
      <c r="R18" s="214"/>
      <c r="S18" s="214"/>
      <c r="T18" s="214"/>
      <c r="U18" s="214"/>
      <c r="V18" s="214"/>
      <c r="W18" s="214"/>
      <c r="X18" s="214"/>
      <c r="Y18" s="214"/>
      <c r="Z18" s="214"/>
      <c r="AA18" s="214"/>
      <c r="AB18" s="214"/>
    </row>
    <row r="19" spans="2:28" ht="30" customHeight="1" x14ac:dyDescent="0.2">
      <c r="B19" s="523" t="s">
        <v>268</v>
      </c>
      <c r="C19" s="528">
        <v>1</v>
      </c>
      <c r="D19" s="256"/>
      <c r="E19" s="524">
        <v>39</v>
      </c>
      <c r="F19" s="256"/>
      <c r="G19" s="257">
        <v>624</v>
      </c>
      <c r="H19" s="260"/>
      <c r="J19" s="76"/>
    </row>
    <row r="20" spans="2:28" ht="30" customHeight="1" x14ac:dyDescent="0.2">
      <c r="B20" s="378" t="s">
        <v>307</v>
      </c>
      <c r="C20" s="215">
        <v>1</v>
      </c>
      <c r="D20" s="258"/>
      <c r="E20" s="525">
        <v>39</v>
      </c>
      <c r="F20" s="258"/>
      <c r="G20" s="259">
        <v>624</v>
      </c>
      <c r="H20" s="213"/>
      <c r="J20" s="76"/>
    </row>
    <row r="21" spans="2:28" ht="30" customHeight="1" x14ac:dyDescent="0.2">
      <c r="B21" s="523" t="s">
        <v>122</v>
      </c>
      <c r="C21" s="528">
        <f>+SUM(C22:C23)</f>
        <v>28</v>
      </c>
      <c r="D21" s="528"/>
      <c r="E21" s="528">
        <f t="shared" ref="E21:G21" si="0">+SUM(E22:E23)</f>
        <v>70690</v>
      </c>
      <c r="F21" s="528"/>
      <c r="G21" s="528">
        <f t="shared" si="0"/>
        <v>7594426</v>
      </c>
      <c r="H21" s="260"/>
      <c r="J21" s="76"/>
    </row>
    <row r="22" spans="2:28" ht="30" customHeight="1" x14ac:dyDescent="0.2">
      <c r="B22" s="378" t="s">
        <v>308</v>
      </c>
      <c r="C22" s="215">
        <v>10</v>
      </c>
      <c r="D22" s="256"/>
      <c r="E22" s="525">
        <v>1215</v>
      </c>
      <c r="F22" s="256"/>
      <c r="G22" s="259">
        <v>143544</v>
      </c>
      <c r="H22" s="213"/>
      <c r="J22" s="76"/>
    </row>
    <row r="23" spans="2:28" ht="30" customHeight="1" x14ac:dyDescent="0.2">
      <c r="B23" s="378" t="s">
        <v>309</v>
      </c>
      <c r="C23" s="215">
        <v>18</v>
      </c>
      <c r="D23" s="256"/>
      <c r="E23" s="525">
        <v>69475</v>
      </c>
      <c r="F23" s="256"/>
      <c r="G23" s="259">
        <v>7450882</v>
      </c>
      <c r="H23" s="213"/>
      <c r="J23" s="76"/>
    </row>
    <row r="24" spans="2:28" ht="30" customHeight="1" x14ac:dyDescent="0.2">
      <c r="B24" s="523" t="s">
        <v>244</v>
      </c>
      <c r="C24" s="528">
        <f>+SUM(C25:C26)</f>
        <v>4</v>
      </c>
      <c r="D24" s="258"/>
      <c r="E24" s="528">
        <f>+SUM(E25:E26)</f>
        <v>322</v>
      </c>
      <c r="F24" s="258"/>
      <c r="G24" s="528">
        <f>+SUM(G25:G26)</f>
        <v>27080</v>
      </c>
      <c r="H24" s="260"/>
      <c r="J24" s="76"/>
    </row>
    <row r="25" spans="2:28" ht="30" customHeight="1" x14ac:dyDescent="0.2">
      <c r="B25" s="378" t="s">
        <v>310</v>
      </c>
      <c r="C25" s="215">
        <v>1</v>
      </c>
      <c r="D25" s="256"/>
      <c r="E25" s="525">
        <v>250</v>
      </c>
      <c r="F25" s="256"/>
      <c r="G25" s="259">
        <v>26000</v>
      </c>
      <c r="H25" s="19"/>
      <c r="J25" s="76"/>
    </row>
    <row r="26" spans="2:28" ht="30" customHeight="1" x14ac:dyDescent="0.2">
      <c r="B26" s="378" t="s">
        <v>311</v>
      </c>
      <c r="C26" s="253">
        <v>3</v>
      </c>
      <c r="D26" s="258"/>
      <c r="E26" s="525">
        <v>72</v>
      </c>
      <c r="F26" s="258"/>
      <c r="G26" s="259">
        <v>1080</v>
      </c>
      <c r="H26" s="260"/>
    </row>
    <row r="27" spans="2:28" ht="30" customHeight="1" x14ac:dyDescent="0.2">
      <c r="B27" s="523" t="s">
        <v>312</v>
      </c>
      <c r="C27" s="528">
        <v>1</v>
      </c>
      <c r="D27" s="256"/>
      <c r="E27" s="524">
        <v>60</v>
      </c>
      <c r="F27" s="256"/>
      <c r="G27" s="257">
        <v>9840</v>
      </c>
      <c r="H27" s="260"/>
    </row>
    <row r="28" spans="2:28" ht="30" customHeight="1" x14ac:dyDescent="0.2">
      <c r="B28" s="378" t="s">
        <v>313</v>
      </c>
      <c r="C28" s="253">
        <v>1</v>
      </c>
      <c r="D28" s="258"/>
      <c r="E28" s="525">
        <v>60</v>
      </c>
      <c r="F28" s="258"/>
      <c r="G28" s="259">
        <v>9840</v>
      </c>
      <c r="H28" s="260"/>
    </row>
    <row r="29" spans="2:28" ht="30" customHeight="1" x14ac:dyDescent="0.2">
      <c r="B29" s="523" t="s">
        <v>314</v>
      </c>
      <c r="C29" s="528">
        <v>1</v>
      </c>
      <c r="D29" s="256"/>
      <c r="E29" s="524">
        <v>535</v>
      </c>
      <c r="F29" s="256"/>
      <c r="G29" s="257">
        <v>4280</v>
      </c>
      <c r="H29" s="260"/>
    </row>
    <row r="30" spans="2:28" ht="30" customHeight="1" x14ac:dyDescent="0.2">
      <c r="B30" s="378" t="s">
        <v>315</v>
      </c>
      <c r="C30" s="253">
        <v>1</v>
      </c>
      <c r="D30" s="258"/>
      <c r="E30" s="525">
        <v>535</v>
      </c>
      <c r="F30" s="258"/>
      <c r="G30" s="259">
        <v>4280</v>
      </c>
      <c r="H30" s="260"/>
    </row>
    <row r="31" spans="2:28" ht="30" customHeight="1" x14ac:dyDescent="0.2">
      <c r="B31" s="523" t="s">
        <v>270</v>
      </c>
      <c r="C31" s="526">
        <v>4</v>
      </c>
      <c r="D31" s="256"/>
      <c r="E31" s="524">
        <v>295</v>
      </c>
      <c r="F31" s="256"/>
      <c r="G31" s="257">
        <v>14192</v>
      </c>
      <c r="H31" s="19"/>
    </row>
    <row r="32" spans="2:28" ht="30" customHeight="1" x14ac:dyDescent="0.2">
      <c r="B32" s="378" t="s">
        <v>316</v>
      </c>
      <c r="C32" s="253">
        <v>4</v>
      </c>
      <c r="D32" s="258"/>
      <c r="E32" s="525">
        <v>295</v>
      </c>
      <c r="F32" s="258"/>
      <c r="G32" s="259">
        <v>14192</v>
      </c>
      <c r="H32" s="260"/>
    </row>
    <row r="33" spans="2:34" ht="30" customHeight="1" x14ac:dyDescent="0.2">
      <c r="B33" s="523" t="s">
        <v>317</v>
      </c>
      <c r="C33" s="526">
        <v>3</v>
      </c>
      <c r="D33" s="256"/>
      <c r="E33" s="524">
        <v>120</v>
      </c>
      <c r="F33" s="256"/>
      <c r="G33" s="257">
        <v>3660</v>
      </c>
      <c r="H33" s="19"/>
    </row>
    <row r="34" spans="2:34" ht="30" customHeight="1" x14ac:dyDescent="0.2">
      <c r="B34" s="378" t="s">
        <v>318</v>
      </c>
      <c r="C34" s="253">
        <v>3</v>
      </c>
      <c r="D34" s="258"/>
      <c r="E34" s="525">
        <v>120</v>
      </c>
      <c r="F34" s="258"/>
      <c r="G34" s="259">
        <v>3660</v>
      </c>
      <c r="H34" s="260"/>
    </row>
    <row r="35" spans="2:34" ht="12" customHeight="1" x14ac:dyDescent="0.2">
      <c r="B35" s="378"/>
      <c r="C35" s="253"/>
      <c r="D35" s="254"/>
      <c r="E35" s="255"/>
      <c r="F35" s="254"/>
      <c r="G35" s="255"/>
      <c r="H35" s="18"/>
    </row>
    <row r="36" spans="2:34" ht="30.75" customHeight="1" x14ac:dyDescent="0.2">
      <c r="B36" s="380" t="s">
        <v>6</v>
      </c>
      <c r="C36" s="405">
        <f>SUM(C7+C9+C11+C13+C17+C19+C21+C24+C31+C33+C27+C29+C15)</f>
        <v>58</v>
      </c>
      <c r="D36" s="406"/>
      <c r="E36" s="405">
        <f>SUM(E7+E9+E11+E13+E17+E19+E21+E24+E31+E33+E27+E29+E15)</f>
        <v>74366</v>
      </c>
      <c r="F36" s="407"/>
      <c r="G36" s="405">
        <f>SUM(G7+G9+G11+G13+G17+G19+G21+G24+G31+G33+G27+G29+G15)</f>
        <v>7781734</v>
      </c>
      <c r="H36" s="405"/>
    </row>
    <row r="37" spans="2:34" ht="29.25" customHeight="1" x14ac:dyDescent="0.2">
      <c r="B37" s="5" t="s">
        <v>217</v>
      </c>
      <c r="C37" s="1"/>
      <c r="D37" s="6"/>
      <c r="E37" s="6"/>
      <c r="F37" s="6"/>
      <c r="G37" s="6"/>
      <c r="I37" s="6"/>
      <c r="J37" s="6"/>
      <c r="N37" s="8"/>
      <c r="O37" s="4"/>
      <c r="P37" s="8"/>
      <c r="Q37" s="9"/>
      <c r="R37" s="529"/>
      <c r="S37" s="9"/>
    </row>
    <row r="38" spans="2:34" ht="24.6" customHeight="1" x14ac:dyDescent="0.2">
      <c r="B38" s="10" t="s">
        <v>271</v>
      </c>
      <c r="C38" s="1"/>
      <c r="D38" s="11"/>
      <c r="E38" s="11"/>
      <c r="F38" s="11"/>
      <c r="G38" s="11"/>
      <c r="H38" s="11"/>
      <c r="I38" s="12"/>
      <c r="J38" s="12"/>
      <c r="O38" s="13"/>
      <c r="P38" s="14"/>
      <c r="Q38" s="13"/>
      <c r="R38" s="14"/>
      <c r="S38" s="15"/>
    </row>
    <row r="39" spans="2:34" ht="24.6" customHeight="1" x14ac:dyDescent="0.2">
      <c r="B39" s="16" t="s">
        <v>245</v>
      </c>
      <c r="C39" s="1"/>
      <c r="E39" s="17"/>
      <c r="F39" s="18"/>
      <c r="G39" s="17"/>
      <c r="H39" s="19"/>
      <c r="I39" s="20"/>
      <c r="J39" s="21"/>
    </row>
    <row r="40" spans="2:34" ht="24.6" customHeight="1" x14ac:dyDescent="0.35">
      <c r="B40" s="514" t="s">
        <v>322</v>
      </c>
      <c r="C40" s="1"/>
      <c r="E40" s="17"/>
      <c r="F40" s="18"/>
      <c r="G40" s="17"/>
      <c r="H40" s="19"/>
      <c r="I40" s="20"/>
      <c r="J40" s="21"/>
    </row>
    <row r="41" spans="2:34" s="38" customFormat="1" ht="23.25" x14ac:dyDescent="0.35">
      <c r="B41" s="514" t="s">
        <v>319</v>
      </c>
      <c r="C41" s="22"/>
      <c r="D41" s="22"/>
      <c r="E41" s="22"/>
      <c r="F41" s="22"/>
      <c r="G41" s="22"/>
      <c r="H41" s="22"/>
      <c r="I41" s="16"/>
      <c r="J41" s="16"/>
      <c r="K41" s="16"/>
      <c r="L41" s="16"/>
      <c r="M41" s="16"/>
      <c r="N41" s="16"/>
      <c r="O41" s="16"/>
      <c r="P41" s="16"/>
      <c r="Q41" s="16"/>
      <c r="R41" s="16"/>
      <c r="S41" s="83"/>
      <c r="T41" s="83"/>
      <c r="U41" s="83"/>
      <c r="V41" s="83"/>
      <c r="W41" s="83"/>
      <c r="X41" s="83"/>
      <c r="Y41" s="83"/>
      <c r="Z41" s="83"/>
      <c r="AA41" s="83"/>
      <c r="AB41" s="83"/>
      <c r="AC41" s="83"/>
      <c r="AD41" s="83"/>
      <c r="AE41" s="83"/>
      <c r="AF41" s="83"/>
      <c r="AG41" s="83"/>
      <c r="AH41" s="83"/>
    </row>
    <row r="42" spans="2:34" ht="173.45" customHeight="1" x14ac:dyDescent="0.2">
      <c r="B42" s="745" t="s">
        <v>320</v>
      </c>
      <c r="C42" s="745"/>
      <c r="D42" s="745"/>
      <c r="E42" s="745"/>
      <c r="F42" s="745"/>
      <c r="G42" s="745"/>
      <c r="H42" s="745"/>
      <c r="I42" s="36"/>
      <c r="J42" s="36"/>
    </row>
    <row r="43" spans="2:34" ht="26.45" customHeight="1" x14ac:dyDescent="0.2">
      <c r="C43" s="1"/>
      <c r="E43" s="1"/>
      <c r="H43" s="3"/>
    </row>
    <row r="44" spans="2:34" ht="15" hidden="1" customHeight="1" x14ac:dyDescent="0.2">
      <c r="B44" s="80"/>
      <c r="C44" s="527"/>
      <c r="E44" s="81"/>
      <c r="G44" s="81"/>
    </row>
  </sheetData>
  <mergeCells count="7">
    <mergeCell ref="B42:H42"/>
    <mergeCell ref="B1:H1"/>
    <mergeCell ref="B4:H4"/>
    <mergeCell ref="B3:H3"/>
    <mergeCell ref="C5:D5"/>
    <mergeCell ref="E5:F5"/>
    <mergeCell ref="G5:H5"/>
  </mergeCells>
  <phoneticPr fontId="2" type="noConversion"/>
  <printOptions horizontalCentered="1" verticalCentered="1"/>
  <pageMargins left="0" right="0" top="0" bottom="0" header="0" footer="0"/>
  <pageSetup paperSize="9" scale="5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B1:AA40"/>
  <sheetViews>
    <sheetView showGridLines="0" zoomScale="70" zoomScaleNormal="70" zoomScaleSheetLayoutView="85" workbookViewId="0">
      <selection activeCell="R36" sqref="R36"/>
    </sheetView>
  </sheetViews>
  <sheetFormatPr baseColWidth="10" defaultColWidth="11.42578125" defaultRowHeight="12.75" x14ac:dyDescent="0.2"/>
  <cols>
    <col min="1" max="1" width="4.5703125" style="1" customWidth="1"/>
    <col min="2" max="2" width="18.28515625" style="1" customWidth="1"/>
    <col min="3" max="3" width="16.28515625" style="1" customWidth="1"/>
    <col min="4" max="4" width="3.7109375" style="1" customWidth="1"/>
    <col min="5" max="5" width="15.42578125" style="1" customWidth="1"/>
    <col min="6" max="6" width="3.7109375" style="1" customWidth="1"/>
    <col min="7" max="7" width="14.7109375" style="1" customWidth="1"/>
    <col min="8" max="8" width="3.7109375" style="1" customWidth="1"/>
    <col min="9" max="9" width="14.28515625" style="1" customWidth="1"/>
    <col min="10" max="10" width="3.7109375" style="1" customWidth="1"/>
    <col min="11" max="11" width="18.5703125" style="1" customWidth="1"/>
    <col min="12" max="12" width="3.7109375" style="1" customWidth="1"/>
    <col min="13" max="13" width="16.28515625" style="1" customWidth="1"/>
    <col min="14" max="14" width="3.7109375" style="1" customWidth="1"/>
    <col min="15" max="15" width="4.42578125" style="1" customWidth="1"/>
    <col min="16" max="16384" width="11.42578125" style="1"/>
  </cols>
  <sheetData>
    <row r="1" spans="2:15" ht="25.5" customHeight="1" x14ac:dyDescent="0.2">
      <c r="B1" s="691" t="s">
        <v>132</v>
      </c>
      <c r="C1" s="691"/>
      <c r="D1" s="691"/>
      <c r="E1" s="691"/>
      <c r="F1" s="691"/>
      <c r="G1" s="691"/>
      <c r="H1" s="691"/>
      <c r="I1" s="691"/>
      <c r="J1" s="691"/>
      <c r="K1" s="691"/>
      <c r="L1" s="691"/>
      <c r="M1" s="691"/>
      <c r="N1" s="691"/>
    </row>
    <row r="2" spans="2:15" s="73" customFormat="1" ht="25.5" customHeight="1" x14ac:dyDescent="0.2">
      <c r="B2" s="73" t="s">
        <v>145</v>
      </c>
    </row>
    <row r="3" spans="2:15" s="73" customFormat="1" ht="45" customHeight="1" x14ac:dyDescent="0.2">
      <c r="B3" s="692" t="s">
        <v>186</v>
      </c>
      <c r="C3" s="692"/>
      <c r="D3" s="692"/>
      <c r="E3" s="692"/>
      <c r="F3" s="692"/>
      <c r="G3" s="692"/>
      <c r="H3" s="692"/>
      <c r="I3" s="692"/>
      <c r="J3" s="692"/>
      <c r="K3" s="692"/>
      <c r="L3" s="692"/>
      <c r="M3" s="692"/>
      <c r="N3" s="692"/>
    </row>
    <row r="4" spans="2:15" s="73" customFormat="1" ht="30" customHeight="1" x14ac:dyDescent="0.2">
      <c r="B4" s="691" t="s">
        <v>323</v>
      </c>
      <c r="C4" s="691"/>
      <c r="D4" s="691"/>
      <c r="E4" s="691"/>
      <c r="F4" s="691"/>
      <c r="G4" s="691"/>
      <c r="H4" s="691"/>
      <c r="I4" s="691"/>
      <c r="J4" s="691"/>
      <c r="K4" s="691"/>
      <c r="L4" s="691"/>
      <c r="M4" s="691"/>
      <c r="N4" s="691"/>
    </row>
    <row r="5" spans="2:15" s="73" customFormat="1" ht="30" customHeight="1" x14ac:dyDescent="0.2">
      <c r="B5" s="696" t="s">
        <v>1</v>
      </c>
      <c r="C5" s="720" t="s">
        <v>103</v>
      </c>
      <c r="D5" s="720"/>
      <c r="E5" s="720"/>
      <c r="F5" s="720"/>
      <c r="G5" s="720"/>
      <c r="H5" s="720"/>
      <c r="I5" s="720"/>
      <c r="J5" s="720"/>
      <c r="K5" s="720"/>
      <c r="L5" s="720"/>
      <c r="M5" s="696" t="s">
        <v>6</v>
      </c>
      <c r="N5" s="696"/>
    </row>
    <row r="6" spans="2:15" s="73" customFormat="1" ht="50.25" customHeight="1" x14ac:dyDescent="0.2">
      <c r="B6" s="696"/>
      <c r="C6" s="753" t="s">
        <v>114</v>
      </c>
      <c r="D6" s="753"/>
      <c r="E6" s="753" t="s">
        <v>115</v>
      </c>
      <c r="F6" s="753"/>
      <c r="G6" s="753" t="s">
        <v>124</v>
      </c>
      <c r="H6" s="753"/>
      <c r="I6" s="753" t="s">
        <v>125</v>
      </c>
      <c r="J6" s="753"/>
      <c r="K6" s="753" t="s">
        <v>133</v>
      </c>
      <c r="L6" s="753"/>
      <c r="M6" s="696"/>
      <c r="N6" s="696"/>
    </row>
    <row r="7" spans="2:15" ht="9.75" customHeight="1" x14ac:dyDescent="0.2">
      <c r="B7" s="408"/>
      <c r="C7" s="67"/>
      <c r="D7" s="9"/>
      <c r="E7" s="67"/>
      <c r="F7" s="9"/>
      <c r="G7" s="9"/>
      <c r="H7" s="9"/>
      <c r="I7" s="67"/>
      <c r="J7" s="9"/>
      <c r="K7" s="67"/>
      <c r="L7" s="263"/>
      <c r="M7" s="190"/>
      <c r="N7" s="262"/>
    </row>
    <row r="8" spans="2:15" ht="24.75" customHeight="1" x14ac:dyDescent="0.2">
      <c r="B8" s="408">
        <v>2000</v>
      </c>
      <c r="C8" s="67">
        <v>0</v>
      </c>
      <c r="D8" s="9"/>
      <c r="E8" s="67">
        <v>72859</v>
      </c>
      <c r="F8" s="9"/>
      <c r="G8" s="9">
        <v>108832</v>
      </c>
      <c r="H8" s="9"/>
      <c r="I8" s="67">
        <v>0</v>
      </c>
      <c r="J8" s="9"/>
      <c r="K8" s="67">
        <v>0</v>
      </c>
      <c r="L8" s="263"/>
      <c r="M8" s="190">
        <f>SUM(C8:L8)</f>
        <v>181691</v>
      </c>
      <c r="N8" s="262"/>
    </row>
    <row r="9" spans="2:15" ht="24.75" customHeight="1" x14ac:dyDescent="0.2">
      <c r="B9" s="408">
        <v>2001</v>
      </c>
      <c r="C9" s="67">
        <v>8096</v>
      </c>
      <c r="D9" s="9"/>
      <c r="E9" s="67">
        <v>188882</v>
      </c>
      <c r="F9" s="9"/>
      <c r="G9" s="9">
        <v>279072</v>
      </c>
      <c r="H9" s="9"/>
      <c r="I9" s="67">
        <v>12880</v>
      </c>
      <c r="J9" s="9"/>
      <c r="K9" s="67">
        <v>0</v>
      </c>
      <c r="L9" s="263"/>
      <c r="M9" s="190">
        <f>SUM(C9:L9)</f>
        <v>488930</v>
      </c>
      <c r="N9" s="262"/>
    </row>
    <row r="10" spans="2:15" ht="24.75" customHeight="1" x14ac:dyDescent="0.2">
      <c r="B10" s="408">
        <v>2002</v>
      </c>
      <c r="C10" s="67">
        <v>27720</v>
      </c>
      <c r="D10" s="9"/>
      <c r="E10" s="67">
        <v>351136</v>
      </c>
      <c r="F10" s="9"/>
      <c r="G10" s="9">
        <v>54768</v>
      </c>
      <c r="H10" s="9"/>
      <c r="I10" s="67">
        <v>479024</v>
      </c>
      <c r="J10" s="9"/>
      <c r="K10" s="67">
        <v>0</v>
      </c>
      <c r="L10" s="263"/>
      <c r="M10" s="190">
        <f t="shared" ref="M10:M18" si="0">SUM(C10:L10)</f>
        <v>912648</v>
      </c>
      <c r="N10" s="262"/>
    </row>
    <row r="11" spans="2:15" ht="24.75" customHeight="1" x14ac:dyDescent="0.2">
      <c r="B11" s="408">
        <v>2003</v>
      </c>
      <c r="C11" s="67">
        <v>128</v>
      </c>
      <c r="D11" s="9"/>
      <c r="E11" s="67">
        <v>286254</v>
      </c>
      <c r="F11" s="9"/>
      <c r="G11" s="9">
        <v>24220</v>
      </c>
      <c r="H11" s="9"/>
      <c r="I11" s="67">
        <v>570760</v>
      </c>
      <c r="J11" s="9"/>
      <c r="K11" s="67">
        <v>0</v>
      </c>
      <c r="L11" s="263"/>
      <c r="M11" s="190">
        <f t="shared" si="0"/>
        <v>881362</v>
      </c>
      <c r="N11" s="262"/>
    </row>
    <row r="12" spans="2:15" ht="24.75" customHeight="1" x14ac:dyDescent="0.2">
      <c r="B12" s="408">
        <v>2004</v>
      </c>
      <c r="C12" s="67">
        <v>31768</v>
      </c>
      <c r="D12" s="9"/>
      <c r="E12" s="67">
        <v>457496</v>
      </c>
      <c r="F12" s="9"/>
      <c r="G12" s="9">
        <v>68992</v>
      </c>
      <c r="H12" s="9"/>
      <c r="I12" s="67">
        <v>24072</v>
      </c>
      <c r="J12" s="9"/>
      <c r="K12" s="67">
        <v>0</v>
      </c>
      <c r="L12" s="263"/>
      <c r="M12" s="190">
        <f t="shared" si="0"/>
        <v>582328</v>
      </c>
      <c r="N12" s="262"/>
    </row>
    <row r="13" spans="2:15" ht="24.75" customHeight="1" x14ac:dyDescent="0.2">
      <c r="B13" s="408">
        <v>2005</v>
      </c>
      <c r="C13" s="67">
        <v>239212</v>
      </c>
      <c r="D13" s="9"/>
      <c r="E13" s="67">
        <v>113438</v>
      </c>
      <c r="F13" s="9"/>
      <c r="G13" s="9">
        <v>36400</v>
      </c>
      <c r="H13" s="9"/>
      <c r="I13" s="67">
        <v>89688</v>
      </c>
      <c r="J13" s="9"/>
      <c r="K13" s="67">
        <v>0</v>
      </c>
      <c r="L13" s="263"/>
      <c r="M13" s="190">
        <f t="shared" si="0"/>
        <v>478738</v>
      </c>
      <c r="N13" s="262"/>
    </row>
    <row r="14" spans="2:15" ht="24.75" customHeight="1" x14ac:dyDescent="0.2">
      <c r="B14" s="408">
        <v>2006</v>
      </c>
      <c r="C14" s="67">
        <v>48720</v>
      </c>
      <c r="D14" s="9"/>
      <c r="E14" s="67">
        <v>301802</v>
      </c>
      <c r="F14" s="9"/>
      <c r="G14" s="9">
        <v>87438</v>
      </c>
      <c r="H14" s="9"/>
      <c r="I14" s="67">
        <v>8624</v>
      </c>
      <c r="J14" s="9"/>
      <c r="K14" s="67">
        <v>0</v>
      </c>
      <c r="L14" s="263"/>
      <c r="M14" s="190">
        <f t="shared" si="0"/>
        <v>446584</v>
      </c>
      <c r="N14" s="262"/>
    </row>
    <row r="15" spans="2:15" ht="25.15" customHeight="1" x14ac:dyDescent="0.2">
      <c r="B15" s="408">
        <v>2007</v>
      </c>
      <c r="C15" s="67">
        <v>1310</v>
      </c>
      <c r="D15" s="9"/>
      <c r="E15" s="67">
        <v>1067162</v>
      </c>
      <c r="F15" s="9"/>
      <c r="G15" s="9">
        <v>533544</v>
      </c>
      <c r="H15" s="9"/>
      <c r="I15" s="67">
        <v>614504</v>
      </c>
      <c r="J15" s="9"/>
      <c r="K15" s="67">
        <v>0</v>
      </c>
      <c r="L15" s="263"/>
      <c r="M15" s="190">
        <f t="shared" si="0"/>
        <v>2216520</v>
      </c>
      <c r="N15" s="262"/>
      <c r="O15" s="83"/>
    </row>
    <row r="16" spans="2:15" ht="25.15" customHeight="1" x14ac:dyDescent="0.2">
      <c r="B16" s="408">
        <v>2008</v>
      </c>
      <c r="C16" s="67">
        <v>5456</v>
      </c>
      <c r="D16" s="9"/>
      <c r="E16" s="67">
        <v>585280</v>
      </c>
      <c r="F16" s="9"/>
      <c r="G16" s="9">
        <v>615024</v>
      </c>
      <c r="H16" s="9"/>
      <c r="I16" s="67">
        <v>303792</v>
      </c>
      <c r="J16" s="9"/>
      <c r="K16" s="67">
        <v>11408</v>
      </c>
      <c r="L16" s="263"/>
      <c r="M16" s="190">
        <f t="shared" si="0"/>
        <v>1520960</v>
      </c>
      <c r="N16" s="262"/>
      <c r="O16" s="83"/>
    </row>
    <row r="17" spans="2:15" ht="25.15" customHeight="1" x14ac:dyDescent="0.2">
      <c r="B17" s="408">
        <v>2009</v>
      </c>
      <c r="C17" s="67">
        <v>65384</v>
      </c>
      <c r="D17" s="9"/>
      <c r="E17" s="67">
        <v>1041800</v>
      </c>
      <c r="F17" s="9"/>
      <c r="G17" s="9">
        <v>285202</v>
      </c>
      <c r="H17" s="9"/>
      <c r="I17" s="67">
        <v>60080</v>
      </c>
      <c r="J17" s="9"/>
      <c r="K17" s="67">
        <v>0</v>
      </c>
      <c r="L17" s="263"/>
      <c r="M17" s="190">
        <f t="shared" si="0"/>
        <v>1452466</v>
      </c>
      <c r="N17" s="262"/>
      <c r="O17" s="83"/>
    </row>
    <row r="18" spans="2:15" ht="25.15" customHeight="1" x14ac:dyDescent="0.2">
      <c r="B18" s="408">
        <v>2010</v>
      </c>
      <c r="C18" s="67">
        <v>70624</v>
      </c>
      <c r="D18" s="9"/>
      <c r="E18" s="67">
        <v>1001908</v>
      </c>
      <c r="F18" s="9"/>
      <c r="G18" s="9">
        <v>206368</v>
      </c>
      <c r="H18" s="9"/>
      <c r="I18" s="67">
        <v>480</v>
      </c>
      <c r="J18" s="9"/>
      <c r="K18" s="67">
        <v>0</v>
      </c>
      <c r="L18" s="263"/>
      <c r="M18" s="190">
        <f t="shared" si="0"/>
        <v>1279380</v>
      </c>
      <c r="N18" s="262"/>
      <c r="O18" s="83"/>
    </row>
    <row r="19" spans="2:15" ht="25.15" customHeight="1" x14ac:dyDescent="0.2">
      <c r="B19" s="408">
        <v>2011</v>
      </c>
      <c r="C19" s="67">
        <v>32264</v>
      </c>
      <c r="D19" s="9"/>
      <c r="E19" s="67">
        <v>880656</v>
      </c>
      <c r="F19" s="9"/>
      <c r="G19" s="9">
        <v>879936</v>
      </c>
      <c r="H19" s="9"/>
      <c r="I19" s="67">
        <v>6560</v>
      </c>
      <c r="J19" s="9"/>
      <c r="K19" s="67">
        <v>0</v>
      </c>
      <c r="L19" s="263"/>
      <c r="M19" s="190">
        <f>SUM(C19:K19)</f>
        <v>1799416</v>
      </c>
      <c r="N19" s="262"/>
      <c r="O19" s="83"/>
    </row>
    <row r="20" spans="2:15" ht="25.15" customHeight="1" x14ac:dyDescent="0.2">
      <c r="B20" s="408">
        <v>2012</v>
      </c>
      <c r="C20" s="67">
        <v>676346</v>
      </c>
      <c r="D20" s="9"/>
      <c r="E20" s="67">
        <v>954286</v>
      </c>
      <c r="F20" s="9"/>
      <c r="G20" s="9">
        <v>233504</v>
      </c>
      <c r="H20" s="9"/>
      <c r="I20" s="67">
        <v>14560</v>
      </c>
      <c r="J20" s="9"/>
      <c r="K20" s="67">
        <v>0</v>
      </c>
      <c r="L20" s="263"/>
      <c r="M20" s="190">
        <f t="shared" ref="M20:M26" si="1">SUM(C20:L20)</f>
        <v>1878696</v>
      </c>
      <c r="N20" s="262"/>
      <c r="O20" s="83"/>
    </row>
    <row r="21" spans="2:15" ht="25.15" customHeight="1" x14ac:dyDescent="0.2">
      <c r="B21" s="408">
        <v>2013</v>
      </c>
      <c r="C21" s="67">
        <v>205032</v>
      </c>
      <c r="D21" s="9"/>
      <c r="E21" s="67">
        <v>916530</v>
      </c>
      <c r="F21" s="9"/>
      <c r="G21" s="9">
        <v>448672</v>
      </c>
      <c r="H21" s="9"/>
      <c r="I21" s="67">
        <v>2968</v>
      </c>
      <c r="J21" s="9"/>
      <c r="K21" s="67">
        <v>0</v>
      </c>
      <c r="L21" s="263"/>
      <c r="M21" s="190">
        <f t="shared" si="1"/>
        <v>1573202</v>
      </c>
      <c r="N21" s="262"/>
      <c r="O21" s="83"/>
    </row>
    <row r="22" spans="2:15" ht="25.15" customHeight="1" x14ac:dyDescent="0.2">
      <c r="B22" s="408">
        <v>2014</v>
      </c>
      <c r="C22" s="67">
        <v>614012</v>
      </c>
      <c r="D22" s="9"/>
      <c r="E22" s="67">
        <v>1029246</v>
      </c>
      <c r="F22" s="9"/>
      <c r="G22" s="9">
        <v>821600</v>
      </c>
      <c r="H22" s="9"/>
      <c r="I22" s="67">
        <v>688160</v>
      </c>
      <c r="J22" s="9"/>
      <c r="K22" s="67">
        <v>0</v>
      </c>
      <c r="L22" s="263"/>
      <c r="M22" s="190">
        <f t="shared" si="1"/>
        <v>3153018</v>
      </c>
      <c r="N22" s="262"/>
      <c r="O22" s="83"/>
    </row>
    <row r="23" spans="2:15" ht="25.15" customHeight="1" x14ac:dyDescent="0.2">
      <c r="B23" s="408">
        <v>2015</v>
      </c>
      <c r="C23" s="67">
        <v>187352</v>
      </c>
      <c r="D23" s="9"/>
      <c r="E23" s="67">
        <v>609816</v>
      </c>
      <c r="F23" s="9"/>
      <c r="G23" s="9">
        <v>968656</v>
      </c>
      <c r="H23" s="9"/>
      <c r="I23" s="67">
        <v>159808</v>
      </c>
      <c r="J23" s="9"/>
      <c r="K23" s="67">
        <v>0</v>
      </c>
      <c r="L23" s="263"/>
      <c r="M23" s="190">
        <f t="shared" si="1"/>
        <v>1925632</v>
      </c>
      <c r="N23" s="262"/>
      <c r="O23" s="83"/>
    </row>
    <row r="24" spans="2:15" ht="25.15" customHeight="1" x14ac:dyDescent="0.2">
      <c r="B24" s="408">
        <v>2016</v>
      </c>
      <c r="C24" s="67">
        <v>38336</v>
      </c>
      <c r="D24" s="9"/>
      <c r="E24" s="67">
        <v>696304</v>
      </c>
      <c r="F24" s="9"/>
      <c r="G24" s="9">
        <v>923792</v>
      </c>
      <c r="H24" s="9"/>
      <c r="I24" s="67">
        <v>1425624</v>
      </c>
      <c r="J24" s="9"/>
      <c r="K24" s="67">
        <v>0</v>
      </c>
      <c r="L24" s="263"/>
      <c r="M24" s="190">
        <f t="shared" si="1"/>
        <v>3084056</v>
      </c>
      <c r="N24" s="262"/>
      <c r="O24" s="83"/>
    </row>
    <row r="25" spans="2:15" ht="25.5" customHeight="1" x14ac:dyDescent="0.2">
      <c r="B25" s="408">
        <v>2017</v>
      </c>
      <c r="C25" s="67">
        <v>561460</v>
      </c>
      <c r="D25" s="9"/>
      <c r="E25" s="67">
        <v>549448</v>
      </c>
      <c r="F25" s="9"/>
      <c r="G25" s="9">
        <v>49680</v>
      </c>
      <c r="H25" s="9"/>
      <c r="I25" s="67">
        <v>1845906</v>
      </c>
      <c r="J25" s="9"/>
      <c r="K25" s="67">
        <v>0</v>
      </c>
      <c r="L25" s="263"/>
      <c r="M25" s="190">
        <f>SUM(C25:L25)</f>
        <v>3006494</v>
      </c>
      <c r="N25" s="262"/>
      <c r="O25" s="83"/>
    </row>
    <row r="26" spans="2:15" ht="25.5" customHeight="1" x14ac:dyDescent="0.2">
      <c r="B26" s="408">
        <v>2018</v>
      </c>
      <c r="C26" s="67">
        <v>63698</v>
      </c>
      <c r="D26" s="9"/>
      <c r="E26" s="67">
        <v>452008</v>
      </c>
      <c r="F26" s="9"/>
      <c r="G26" s="9">
        <v>157782</v>
      </c>
      <c r="H26" s="9"/>
      <c r="I26" s="67">
        <v>65376</v>
      </c>
      <c r="J26" s="9"/>
      <c r="K26" s="67">
        <v>0</v>
      </c>
      <c r="L26" s="263"/>
      <c r="M26" s="190">
        <f t="shared" si="1"/>
        <v>738864</v>
      </c>
      <c r="N26" s="262"/>
      <c r="O26" s="83"/>
    </row>
    <row r="27" spans="2:15" ht="25.5" customHeight="1" x14ac:dyDescent="0.2">
      <c r="B27" s="408">
        <v>2019</v>
      </c>
      <c r="C27" s="67">
        <v>349976</v>
      </c>
      <c r="D27" s="9"/>
      <c r="E27" s="67">
        <v>741896</v>
      </c>
      <c r="F27" s="9"/>
      <c r="G27" s="9">
        <v>150160</v>
      </c>
      <c r="H27" s="9"/>
      <c r="I27" s="67">
        <v>843824</v>
      </c>
      <c r="J27" s="9"/>
      <c r="K27" s="67">
        <v>0</v>
      </c>
      <c r="L27" s="263"/>
      <c r="M27" s="190">
        <f t="shared" ref="M27:M31" si="2">SUM(C27:L27)</f>
        <v>2085856</v>
      </c>
      <c r="N27" s="262"/>
      <c r="O27" s="83"/>
    </row>
    <row r="28" spans="2:15" ht="25.5" customHeight="1" x14ac:dyDescent="0.2">
      <c r="B28" s="408">
        <v>2020</v>
      </c>
      <c r="C28" s="67">
        <v>72888</v>
      </c>
      <c r="D28" s="9"/>
      <c r="E28" s="67">
        <v>36256</v>
      </c>
      <c r="F28" s="9"/>
      <c r="G28" s="9">
        <v>154856</v>
      </c>
      <c r="H28" s="9"/>
      <c r="I28" s="67">
        <v>3389184</v>
      </c>
      <c r="J28" s="9"/>
      <c r="K28" s="67">
        <v>0</v>
      </c>
      <c r="L28" s="263"/>
      <c r="M28" s="190">
        <f t="shared" si="2"/>
        <v>3653184</v>
      </c>
      <c r="N28" s="262"/>
      <c r="O28" s="83"/>
    </row>
    <row r="29" spans="2:15" ht="25.5" customHeight="1" x14ac:dyDescent="0.2">
      <c r="B29" s="408">
        <v>2021</v>
      </c>
      <c r="C29" s="67">
        <v>52752</v>
      </c>
      <c r="D29" s="9"/>
      <c r="E29" s="67">
        <v>517968</v>
      </c>
      <c r="F29" s="9"/>
      <c r="G29" s="9">
        <v>139720</v>
      </c>
      <c r="H29" s="9"/>
      <c r="I29" s="67">
        <v>2316800</v>
      </c>
      <c r="J29" s="9"/>
      <c r="K29" s="67">
        <v>0</v>
      </c>
      <c r="L29" s="263"/>
      <c r="M29" s="190">
        <f t="shared" si="2"/>
        <v>3027240</v>
      </c>
      <c r="N29" s="262"/>
      <c r="O29" s="83"/>
    </row>
    <row r="30" spans="2:15" ht="25.5" customHeight="1" x14ac:dyDescent="0.2">
      <c r="B30" s="408">
        <v>2022</v>
      </c>
      <c r="C30" s="67">
        <v>588732</v>
      </c>
      <c r="D30" s="9"/>
      <c r="E30" s="67">
        <v>481104</v>
      </c>
      <c r="F30" s="9"/>
      <c r="G30" s="9">
        <v>211336</v>
      </c>
      <c r="H30" s="9"/>
      <c r="I30" s="67">
        <v>841760</v>
      </c>
      <c r="J30" s="9"/>
      <c r="K30" s="264" t="s">
        <v>225</v>
      </c>
      <c r="L30" s="263"/>
      <c r="M30" s="190">
        <f t="shared" si="2"/>
        <v>2122932</v>
      </c>
      <c r="N30" s="262"/>
      <c r="O30" s="83"/>
    </row>
    <row r="31" spans="2:15" ht="25.5" customHeight="1" x14ac:dyDescent="0.2">
      <c r="B31" s="408">
        <v>2023</v>
      </c>
      <c r="C31" s="67">
        <v>335016</v>
      </c>
      <c r="D31" s="9"/>
      <c r="E31" s="67">
        <v>121929</v>
      </c>
      <c r="F31" s="9"/>
      <c r="G31" s="9">
        <v>134760</v>
      </c>
      <c r="H31" s="9"/>
      <c r="I31" s="67">
        <v>517504</v>
      </c>
      <c r="J31" s="9"/>
      <c r="K31" s="9">
        <v>352800</v>
      </c>
      <c r="L31" s="263"/>
      <c r="M31" s="190">
        <f t="shared" si="2"/>
        <v>1462009</v>
      </c>
      <c r="N31" s="262"/>
      <c r="O31" s="83"/>
    </row>
    <row r="32" spans="2:15" ht="25.5" customHeight="1" x14ac:dyDescent="0.2">
      <c r="B32" s="408">
        <v>2024</v>
      </c>
      <c r="C32" s="67">
        <v>1192604</v>
      </c>
      <c r="D32" s="9"/>
      <c r="E32" s="67">
        <v>244768</v>
      </c>
      <c r="F32" s="9"/>
      <c r="G32" s="9">
        <v>101144</v>
      </c>
      <c r="H32" s="9"/>
      <c r="I32" s="67">
        <v>757000</v>
      </c>
      <c r="J32" s="9"/>
      <c r="K32" s="9">
        <v>0</v>
      </c>
      <c r="L32" s="263"/>
      <c r="M32" s="190">
        <f t="shared" ref="M32" si="3">SUM(C32:L32)</f>
        <v>2295516</v>
      </c>
      <c r="N32" s="262"/>
      <c r="O32" s="83"/>
    </row>
    <row r="33" spans="2:27" ht="25.5" customHeight="1" x14ac:dyDescent="0.2">
      <c r="B33" s="408">
        <v>2025</v>
      </c>
      <c r="C33" s="67">
        <v>2892070</v>
      </c>
      <c r="D33" s="9"/>
      <c r="E33" s="67">
        <v>219088</v>
      </c>
      <c r="F33" s="9"/>
      <c r="G33" s="9">
        <v>115360</v>
      </c>
      <c r="H33" s="9"/>
      <c r="I33" s="67">
        <v>4555216</v>
      </c>
      <c r="J33" s="9"/>
      <c r="K33" s="9">
        <v>0</v>
      </c>
      <c r="L33" s="263"/>
      <c r="M33" s="190">
        <f>SUM(C33:L33)</f>
        <v>7781734</v>
      </c>
      <c r="N33" s="262"/>
      <c r="O33" s="83"/>
    </row>
    <row r="34" spans="2:27" ht="8.25" customHeight="1" x14ac:dyDescent="0.2">
      <c r="B34" s="408"/>
      <c r="C34" s="67"/>
      <c r="D34" s="9"/>
      <c r="E34" s="67"/>
      <c r="F34" s="9"/>
      <c r="G34" s="9"/>
      <c r="H34" s="9"/>
      <c r="I34" s="67"/>
      <c r="J34" s="9"/>
      <c r="K34" s="67"/>
      <c r="L34" s="263"/>
      <c r="M34" s="190"/>
      <c r="N34" s="262"/>
      <c r="O34" s="83"/>
    </row>
    <row r="35" spans="2:27" s="53" customFormat="1" ht="29.25" customHeight="1" x14ac:dyDescent="0.2">
      <c r="B35" s="52" t="s">
        <v>217</v>
      </c>
      <c r="V35" s="57"/>
      <c r="W35" s="49"/>
      <c r="X35" s="57"/>
      <c r="Y35" s="58"/>
      <c r="Z35" s="57"/>
      <c r="AA35" s="58"/>
    </row>
    <row r="36" spans="2:27" s="53" customFormat="1" ht="24.6" customHeight="1" x14ac:dyDescent="0.2">
      <c r="B36" s="59" t="s">
        <v>257</v>
      </c>
      <c r="D36" s="60"/>
      <c r="E36" s="60"/>
      <c r="F36" s="60"/>
      <c r="G36" s="60"/>
      <c r="H36" s="60"/>
      <c r="I36" s="61"/>
      <c r="J36" s="61"/>
      <c r="K36" s="61"/>
      <c r="L36" s="61"/>
      <c r="W36" s="62"/>
      <c r="X36" s="63"/>
      <c r="Y36" s="62"/>
      <c r="Z36" s="63"/>
      <c r="AA36" s="64"/>
    </row>
    <row r="37" spans="2:27" s="53" customFormat="1" ht="24.6" customHeight="1" x14ac:dyDescent="0.2">
      <c r="B37" s="23" t="s">
        <v>247</v>
      </c>
      <c r="E37" s="18"/>
      <c r="F37" s="18"/>
      <c r="G37" s="18"/>
      <c r="H37" s="18"/>
      <c r="I37" s="65"/>
      <c r="J37" s="50"/>
      <c r="K37" s="50"/>
    </row>
    <row r="38" spans="2:27" ht="55.5" customHeight="1" x14ac:dyDescent="0.2">
      <c r="B38" s="752" t="s">
        <v>259</v>
      </c>
      <c r="C38" s="752"/>
      <c r="D38" s="752"/>
      <c r="E38" s="752"/>
      <c r="F38" s="752"/>
      <c r="G38" s="752"/>
      <c r="H38" s="752"/>
      <c r="I38" s="752"/>
      <c r="J38" s="752"/>
      <c r="K38" s="752"/>
      <c r="L38" s="752"/>
      <c r="M38" s="752"/>
      <c r="N38" s="66"/>
      <c r="O38" s="66"/>
      <c r="P38" s="66"/>
      <c r="Q38" s="66"/>
    </row>
    <row r="39" spans="2:27" ht="20.100000000000001" customHeight="1" x14ac:dyDescent="0.2"/>
    <row r="40" spans="2:27" x14ac:dyDescent="0.2">
      <c r="B40" s="54"/>
    </row>
  </sheetData>
  <mergeCells count="12">
    <mergeCell ref="B38:M38"/>
    <mergeCell ref="B1:N1"/>
    <mergeCell ref="B3:N3"/>
    <mergeCell ref="B4:N4"/>
    <mergeCell ref="C6:D6"/>
    <mergeCell ref="E6:F6"/>
    <mergeCell ref="G6:H6"/>
    <mergeCell ref="I6:J6"/>
    <mergeCell ref="K6:L6"/>
    <mergeCell ref="B5:B6"/>
    <mergeCell ref="M5:N6"/>
    <mergeCell ref="C5:L5"/>
  </mergeCells>
  <phoneticPr fontId="2" type="noConversion"/>
  <printOptions horizontalCentered="1" verticalCentered="1"/>
  <pageMargins left="0" right="0" top="0" bottom="0" header="0" footer="0"/>
  <pageSetup paperSize="9" scale="60" orientation="portrait" r:id="rId1"/>
  <headerFooter alignWithMargins="0"/>
  <ignoredErrors>
    <ignoredError sqref="M8:M18 M34 M20:M29" formulaRange="1"/>
    <ignoredError sqref="M19" formula="1"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B1:AH96"/>
  <sheetViews>
    <sheetView showGridLines="0" zoomScale="70" zoomScaleNormal="70" workbookViewId="0">
      <selection activeCell="I18" sqref="I18"/>
    </sheetView>
  </sheetViews>
  <sheetFormatPr baseColWidth="10" defaultColWidth="11.42578125" defaultRowHeight="12.75" x14ac:dyDescent="0.2"/>
  <cols>
    <col min="1" max="1" width="6.5703125" style="38" customWidth="1"/>
    <col min="2" max="2" width="30.7109375" style="38" customWidth="1"/>
    <col min="3" max="3" width="9.7109375" style="38" customWidth="1"/>
    <col min="4" max="4" width="3.7109375" style="38" customWidth="1"/>
    <col min="5" max="5" width="10.7109375" style="38" customWidth="1"/>
    <col min="6" max="6" width="3.7109375" style="38" customWidth="1"/>
    <col min="7" max="7" width="15.7109375" style="38" customWidth="1"/>
    <col min="8" max="8" width="3.7109375" style="38" customWidth="1"/>
    <col min="9" max="9" width="10.7109375" style="38" customWidth="1"/>
    <col min="10" max="10" width="3.7109375" style="38" customWidth="1"/>
    <col min="11" max="11" width="15.7109375" style="38" customWidth="1"/>
    <col min="12" max="12" width="3.7109375" style="38" customWidth="1"/>
    <col min="13" max="13" width="15.7109375" style="38" customWidth="1"/>
    <col min="14" max="14" width="3.7109375" style="38" customWidth="1"/>
    <col min="15" max="15" width="4.7109375" style="38" customWidth="1"/>
    <col min="16" max="16384" width="11.42578125" style="38"/>
  </cols>
  <sheetData>
    <row r="1" spans="2:34" ht="30" customHeight="1" x14ac:dyDescent="0.2">
      <c r="B1" s="691" t="s">
        <v>37</v>
      </c>
      <c r="C1" s="691"/>
      <c r="D1" s="691"/>
      <c r="E1" s="691"/>
      <c r="F1" s="691"/>
      <c r="G1" s="691"/>
      <c r="H1" s="691"/>
      <c r="I1" s="691"/>
      <c r="J1" s="691"/>
      <c r="K1" s="691"/>
      <c r="L1" s="691"/>
      <c r="M1" s="691"/>
      <c r="N1" s="691"/>
      <c r="P1" s="45"/>
      <c r="Q1" s="45"/>
      <c r="R1" s="45"/>
      <c r="S1" s="45"/>
      <c r="T1" s="45"/>
      <c r="U1" s="45"/>
      <c r="V1" s="45"/>
      <c r="W1" s="45"/>
      <c r="X1" s="45"/>
      <c r="Y1" s="45"/>
      <c r="Z1" s="45"/>
      <c r="AA1" s="45"/>
      <c r="AB1" s="45"/>
      <c r="AC1" s="45"/>
      <c r="AD1" s="45"/>
      <c r="AE1" s="45"/>
      <c r="AF1" s="45"/>
      <c r="AG1" s="45"/>
      <c r="AH1" s="45"/>
    </row>
    <row r="2" spans="2:34" ht="26.25" customHeight="1" x14ac:dyDescent="0.2">
      <c r="B2" s="693" t="s">
        <v>145</v>
      </c>
      <c r="C2" s="693"/>
      <c r="D2" s="693"/>
      <c r="E2" s="693"/>
      <c r="F2" s="693"/>
      <c r="G2" s="693"/>
      <c r="H2" s="693"/>
      <c r="I2" s="693"/>
      <c r="J2" s="693"/>
      <c r="K2" s="693"/>
      <c r="L2" s="693"/>
      <c r="M2" s="693"/>
      <c r="N2" s="693"/>
      <c r="P2" s="45"/>
      <c r="Q2" s="45"/>
      <c r="R2" s="45"/>
      <c r="S2" s="45"/>
      <c r="T2" s="45"/>
      <c r="U2" s="45"/>
      <c r="V2" s="45"/>
      <c r="W2" s="45"/>
      <c r="X2" s="45"/>
      <c r="Y2" s="45"/>
      <c r="Z2" s="45"/>
      <c r="AA2" s="45"/>
      <c r="AB2" s="45"/>
      <c r="AC2" s="45"/>
      <c r="AD2" s="45"/>
      <c r="AE2" s="45"/>
      <c r="AF2" s="45"/>
      <c r="AG2" s="45"/>
      <c r="AH2" s="45"/>
    </row>
    <row r="3" spans="2:34" ht="36" customHeight="1" x14ac:dyDescent="0.2">
      <c r="B3" s="692" t="s">
        <v>194</v>
      </c>
      <c r="C3" s="692"/>
      <c r="D3" s="692"/>
      <c r="E3" s="692"/>
      <c r="F3" s="692"/>
      <c r="G3" s="692"/>
      <c r="H3" s="692"/>
      <c r="I3" s="692"/>
      <c r="J3" s="692"/>
      <c r="K3" s="692"/>
      <c r="L3" s="692"/>
      <c r="M3" s="692"/>
      <c r="N3" s="692"/>
      <c r="P3" s="45"/>
      <c r="Q3" s="45"/>
      <c r="R3" s="45"/>
      <c r="S3" s="45"/>
      <c r="T3" s="45"/>
      <c r="U3" s="45"/>
      <c r="V3" s="45"/>
      <c r="W3" s="45"/>
      <c r="X3" s="45"/>
      <c r="Y3" s="45"/>
      <c r="Z3" s="45"/>
      <c r="AA3" s="45"/>
      <c r="AB3" s="45"/>
      <c r="AC3" s="45"/>
      <c r="AD3" s="45"/>
      <c r="AE3" s="45"/>
      <c r="AF3" s="45"/>
      <c r="AG3" s="45"/>
      <c r="AH3" s="45"/>
    </row>
    <row r="4" spans="2:34" ht="30" customHeight="1" x14ac:dyDescent="0.2">
      <c r="B4" s="691">
        <v>2025</v>
      </c>
      <c r="C4" s="691"/>
      <c r="D4" s="691"/>
      <c r="E4" s="691"/>
      <c r="F4" s="691"/>
      <c r="G4" s="691"/>
      <c r="H4" s="691"/>
      <c r="I4" s="691"/>
      <c r="J4" s="691"/>
      <c r="K4" s="691"/>
      <c r="L4" s="691"/>
      <c r="M4" s="691"/>
      <c r="N4" s="691"/>
      <c r="P4" s="45"/>
      <c r="Q4" s="45"/>
      <c r="R4" s="45"/>
      <c r="S4" s="45"/>
      <c r="T4" s="45"/>
      <c r="U4" s="45"/>
      <c r="V4" s="45"/>
      <c r="W4" s="45"/>
      <c r="X4" s="45"/>
      <c r="Y4" s="45"/>
      <c r="Z4" s="45"/>
      <c r="AA4" s="45"/>
      <c r="AB4" s="45"/>
      <c r="AC4" s="45"/>
      <c r="AD4" s="45"/>
      <c r="AE4" s="45"/>
      <c r="AF4" s="45"/>
      <c r="AG4" s="45"/>
      <c r="AH4" s="45"/>
    </row>
    <row r="5" spans="2:34" ht="30" customHeight="1" x14ac:dyDescent="0.2">
      <c r="B5" s="696" t="s">
        <v>104</v>
      </c>
      <c r="C5" s="754" t="s">
        <v>2</v>
      </c>
      <c r="D5" s="755"/>
      <c r="E5" s="755"/>
      <c r="F5" s="756"/>
      <c r="G5" s="757" t="s">
        <v>15</v>
      </c>
      <c r="H5" s="758"/>
      <c r="I5" s="758"/>
      <c r="J5" s="759"/>
      <c r="K5" s="754" t="s">
        <v>12</v>
      </c>
      <c r="L5" s="755"/>
      <c r="M5" s="755"/>
      <c r="N5" s="755"/>
      <c r="P5" s="45"/>
      <c r="Q5" s="45"/>
      <c r="R5" s="45"/>
      <c r="S5" s="45"/>
      <c r="T5" s="45"/>
      <c r="U5" s="45"/>
      <c r="V5" s="45"/>
      <c r="W5" s="45"/>
      <c r="X5" s="45"/>
      <c r="Y5" s="45"/>
      <c r="Z5" s="45"/>
      <c r="AA5" s="45"/>
      <c r="AB5" s="45"/>
      <c r="AC5" s="45"/>
      <c r="AD5" s="45"/>
      <c r="AE5" s="45"/>
      <c r="AF5" s="45"/>
      <c r="AG5" s="45"/>
      <c r="AH5" s="45"/>
    </row>
    <row r="6" spans="2:34" ht="30" customHeight="1" x14ac:dyDescent="0.2">
      <c r="B6" s="696"/>
      <c r="C6" s="760" t="s">
        <v>63</v>
      </c>
      <c r="D6" s="761"/>
      <c r="E6" s="717" t="s">
        <v>5</v>
      </c>
      <c r="F6" s="733"/>
      <c r="G6" s="268" t="s">
        <v>63</v>
      </c>
      <c r="H6" s="269"/>
      <c r="I6" s="717" t="s">
        <v>5</v>
      </c>
      <c r="J6" s="733"/>
      <c r="K6" s="265" t="s">
        <v>63</v>
      </c>
      <c r="L6" s="265"/>
      <c r="M6" s="721" t="s">
        <v>5</v>
      </c>
      <c r="N6" s="721"/>
      <c r="P6" s="45"/>
      <c r="Q6" s="45"/>
      <c r="R6" s="45"/>
      <c r="S6" s="45"/>
      <c r="T6" s="45"/>
      <c r="U6" s="45"/>
      <c r="V6" s="45"/>
      <c r="W6" s="45"/>
      <c r="X6" s="45"/>
      <c r="Y6" s="45"/>
      <c r="Z6" s="45"/>
      <c r="AA6" s="45"/>
      <c r="AB6" s="45"/>
      <c r="AC6" s="45"/>
      <c r="AD6" s="45"/>
      <c r="AE6" s="45"/>
      <c r="AF6" s="45"/>
      <c r="AG6" s="45"/>
      <c r="AH6" s="45"/>
    </row>
    <row r="7" spans="2:34" ht="30" customHeight="1" x14ac:dyDescent="0.2">
      <c r="B7" s="388" t="s">
        <v>195</v>
      </c>
      <c r="C7" s="4">
        <v>0</v>
      </c>
      <c r="D7" s="4"/>
      <c r="E7" s="266">
        <f>C7/C16*100</f>
        <v>0</v>
      </c>
      <c r="F7" s="4"/>
      <c r="G7" s="4">
        <v>0</v>
      </c>
      <c r="H7" s="4"/>
      <c r="I7" s="266">
        <f>G7/G16*100</f>
        <v>0</v>
      </c>
      <c r="J7" s="4"/>
      <c r="K7" s="4">
        <v>0</v>
      </c>
      <c r="L7" s="4"/>
      <c r="M7" s="266">
        <f>K7/K16*100</f>
        <v>0</v>
      </c>
      <c r="P7" s="45"/>
      <c r="Q7" s="45"/>
      <c r="R7" s="45"/>
      <c r="S7" s="45"/>
      <c r="T7" s="45"/>
      <c r="U7" s="45"/>
      <c r="V7" s="45"/>
      <c r="W7" s="45"/>
      <c r="X7" s="45"/>
      <c r="Y7" s="45"/>
      <c r="Z7" s="45"/>
      <c r="AA7" s="45"/>
      <c r="AB7" s="45"/>
      <c r="AC7" s="45"/>
      <c r="AD7" s="45"/>
      <c r="AE7" s="45"/>
      <c r="AF7" s="45"/>
      <c r="AG7" s="45"/>
      <c r="AH7" s="45"/>
    </row>
    <row r="8" spans="2:34" ht="30" customHeight="1" x14ac:dyDescent="0.2">
      <c r="B8" s="388" t="s">
        <v>196</v>
      </c>
      <c r="C8" s="4">
        <v>2</v>
      </c>
      <c r="D8" s="4"/>
      <c r="E8" s="266">
        <f>C8/C16*100</f>
        <v>3.4482758620689653</v>
      </c>
      <c r="F8" s="4"/>
      <c r="G8" s="4">
        <v>59</v>
      </c>
      <c r="H8" s="4"/>
      <c r="I8" s="266">
        <f>G8/G16*100</f>
        <v>7.9337331576257969E-2</v>
      </c>
      <c r="J8" s="4"/>
      <c r="K8" s="4">
        <v>11592</v>
      </c>
      <c r="L8" s="4"/>
      <c r="M8" s="266">
        <f>K8/K16*100</f>
        <v>0.14896422828125452</v>
      </c>
      <c r="P8" s="45"/>
      <c r="Q8" s="45"/>
      <c r="R8" s="45"/>
      <c r="S8" s="45"/>
      <c r="T8" s="45"/>
      <c r="U8" s="45"/>
      <c r="V8" s="45"/>
      <c r="W8" s="45"/>
      <c r="X8" s="45"/>
      <c r="Y8" s="45"/>
      <c r="Z8" s="45"/>
      <c r="AA8" s="45"/>
      <c r="AB8" s="45"/>
      <c r="AC8" s="45"/>
      <c r="AD8" s="45"/>
      <c r="AE8" s="45"/>
      <c r="AF8" s="45"/>
      <c r="AG8" s="45"/>
      <c r="AH8" s="45"/>
    </row>
    <row r="9" spans="2:34" ht="30" customHeight="1" x14ac:dyDescent="0.2">
      <c r="B9" s="388" t="s">
        <v>197</v>
      </c>
      <c r="C9" s="4">
        <v>7</v>
      </c>
      <c r="D9" s="267"/>
      <c r="E9" s="266">
        <f>C9/C16*100</f>
        <v>12.068965517241379</v>
      </c>
      <c r="F9" s="4"/>
      <c r="G9" s="4">
        <v>343</v>
      </c>
      <c r="H9" s="267"/>
      <c r="I9" s="266">
        <f>G9/G16*100</f>
        <v>0.46123228357044888</v>
      </c>
      <c r="J9" s="4"/>
      <c r="K9" s="4">
        <v>29776</v>
      </c>
      <c r="L9" s="267"/>
      <c r="M9" s="266">
        <f>K9/K16*100</f>
        <v>0.38263965332148336</v>
      </c>
      <c r="P9" s="45"/>
      <c r="Q9" s="45"/>
      <c r="R9" s="45"/>
      <c r="S9" s="45"/>
      <c r="T9" s="45"/>
      <c r="U9" s="45"/>
      <c r="V9" s="45"/>
      <c r="W9" s="45"/>
      <c r="X9" s="45"/>
      <c r="Y9" s="45"/>
      <c r="Z9" s="45"/>
      <c r="AA9" s="45"/>
      <c r="AB9" s="45"/>
      <c r="AC9" s="45"/>
      <c r="AD9" s="45"/>
      <c r="AE9" s="45"/>
      <c r="AF9" s="45"/>
      <c r="AG9" s="45"/>
      <c r="AH9" s="45"/>
    </row>
    <row r="10" spans="2:34" ht="30" customHeight="1" x14ac:dyDescent="0.2">
      <c r="B10" s="388" t="s">
        <v>198</v>
      </c>
      <c r="C10" s="4">
        <v>4</v>
      </c>
      <c r="D10" s="267"/>
      <c r="E10" s="266">
        <f>C10/C16*100</f>
        <v>6.8965517241379306</v>
      </c>
      <c r="F10" s="4"/>
      <c r="G10" s="4">
        <v>214</v>
      </c>
      <c r="H10" s="267"/>
      <c r="I10" s="266">
        <f>G10/G16*100</f>
        <v>0.287765914530834</v>
      </c>
      <c r="J10" s="4"/>
      <c r="K10" s="4">
        <v>12984</v>
      </c>
      <c r="L10" s="267"/>
      <c r="M10" s="266">
        <f>K10/K16*100</f>
        <v>0.16685227225705737</v>
      </c>
      <c r="P10" s="45"/>
      <c r="Q10" s="45"/>
      <c r="R10" s="45"/>
      <c r="S10" s="45"/>
      <c r="T10" s="45"/>
      <c r="U10" s="45"/>
      <c r="V10" s="45"/>
      <c r="W10" s="45"/>
      <c r="X10" s="45"/>
      <c r="Y10" s="45"/>
      <c r="Z10" s="45"/>
      <c r="AA10" s="45"/>
      <c r="AB10" s="45"/>
      <c r="AC10" s="45"/>
      <c r="AD10" s="45"/>
      <c r="AE10" s="45"/>
      <c r="AF10" s="45"/>
      <c r="AG10" s="45"/>
      <c r="AH10" s="45"/>
    </row>
    <row r="11" spans="2:34" ht="30" customHeight="1" x14ac:dyDescent="0.2">
      <c r="B11" s="388" t="s">
        <v>199</v>
      </c>
      <c r="C11" s="4">
        <v>3</v>
      </c>
      <c r="D11" s="267"/>
      <c r="E11" s="266">
        <f>C11/C16*100</f>
        <v>5.1724137931034484</v>
      </c>
      <c r="F11" s="4"/>
      <c r="G11" s="4">
        <v>488</v>
      </c>
      <c r="H11" s="267"/>
      <c r="I11" s="266">
        <f>G11/G16*100</f>
        <v>0.65621386117311675</v>
      </c>
      <c r="J11" s="4"/>
      <c r="K11" s="4">
        <v>118952</v>
      </c>
      <c r="L11" s="267"/>
      <c r="M11" s="266">
        <f>K11/K16*100</f>
        <v>1.5286053211276562</v>
      </c>
      <c r="P11" s="45"/>
      <c r="Q11" s="45"/>
      <c r="R11" s="45"/>
      <c r="S11" s="45"/>
      <c r="T11" s="45"/>
      <c r="U11" s="45"/>
      <c r="V11" s="45"/>
      <c r="W11" s="45"/>
      <c r="X11" s="45"/>
      <c r="Y11" s="45"/>
      <c r="Z11" s="45"/>
      <c r="AA11" s="45"/>
      <c r="AB11" s="45"/>
      <c r="AC11" s="45"/>
      <c r="AD11" s="45"/>
      <c r="AE11" s="45"/>
      <c r="AF11" s="45"/>
      <c r="AG11" s="45"/>
      <c r="AH11" s="45"/>
    </row>
    <row r="12" spans="2:34" ht="30" customHeight="1" x14ac:dyDescent="0.2">
      <c r="B12" s="388" t="s">
        <v>200</v>
      </c>
      <c r="C12" s="4">
        <v>9</v>
      </c>
      <c r="D12" s="267"/>
      <c r="E12" s="266">
        <f>C12/C16*100</f>
        <v>15.517241379310345</v>
      </c>
      <c r="F12" s="4"/>
      <c r="G12" s="4">
        <v>1776</v>
      </c>
      <c r="H12" s="267"/>
      <c r="I12" s="266">
        <f>G12/G16*100</f>
        <v>2.388188150498884</v>
      </c>
      <c r="J12" s="4"/>
      <c r="K12" s="4">
        <v>105344</v>
      </c>
      <c r="L12" s="267"/>
      <c r="M12" s="266">
        <f>K12/K16*100</f>
        <v>1.3537342705366182</v>
      </c>
      <c r="P12" s="45"/>
      <c r="Q12" s="45"/>
      <c r="R12" s="45"/>
      <c r="S12" s="45"/>
      <c r="T12" s="45"/>
      <c r="U12" s="45"/>
      <c r="V12" s="45"/>
      <c r="W12" s="45"/>
      <c r="X12" s="45"/>
      <c r="Y12" s="45"/>
      <c r="Z12" s="45"/>
      <c r="AA12" s="45"/>
      <c r="AB12" s="45"/>
      <c r="AC12" s="45"/>
      <c r="AD12" s="45"/>
      <c r="AE12" s="45"/>
      <c r="AF12" s="45"/>
      <c r="AG12" s="45"/>
      <c r="AH12" s="45"/>
    </row>
    <row r="13" spans="2:34" ht="30" customHeight="1" x14ac:dyDescent="0.2">
      <c r="B13" s="388" t="s">
        <v>201</v>
      </c>
      <c r="C13" s="4">
        <v>0</v>
      </c>
      <c r="D13" s="267"/>
      <c r="E13" s="266">
        <f>C13/C16*100</f>
        <v>0</v>
      </c>
      <c r="F13" s="4"/>
      <c r="G13" s="4">
        <v>0</v>
      </c>
      <c r="H13" s="267"/>
      <c r="I13" s="266">
        <f>G13/G16*100</f>
        <v>0</v>
      </c>
      <c r="J13" s="4"/>
      <c r="K13" s="4">
        <v>0</v>
      </c>
      <c r="L13" s="267"/>
      <c r="M13" s="266">
        <f>K13/K16*100</f>
        <v>0</v>
      </c>
      <c r="P13" s="45"/>
      <c r="Q13" s="45"/>
      <c r="R13" s="45"/>
      <c r="S13" s="45"/>
      <c r="T13" s="45"/>
      <c r="U13" s="45"/>
      <c r="V13" s="45"/>
      <c r="W13" s="45"/>
      <c r="X13" s="45"/>
      <c r="Y13" s="45"/>
      <c r="Z13" s="45"/>
      <c r="AA13" s="45"/>
      <c r="AB13" s="45"/>
      <c r="AC13" s="45"/>
      <c r="AD13" s="45"/>
      <c r="AE13" s="45"/>
      <c r="AF13" s="45"/>
      <c r="AG13" s="45"/>
      <c r="AH13" s="45"/>
    </row>
    <row r="14" spans="2:34" ht="30" customHeight="1" x14ac:dyDescent="0.2">
      <c r="B14" s="388" t="s">
        <v>202</v>
      </c>
      <c r="C14" s="4">
        <v>33</v>
      </c>
      <c r="D14" s="267"/>
      <c r="E14" s="266">
        <f>C14/C16*100</f>
        <v>56.896551724137936</v>
      </c>
      <c r="F14" s="4"/>
      <c r="G14" s="4">
        <v>71486</v>
      </c>
      <c r="H14" s="267"/>
      <c r="I14" s="266">
        <f>G14/G16*100</f>
        <v>96.127262458650449</v>
      </c>
      <c r="J14" s="4"/>
      <c r="K14" s="4">
        <v>7503086</v>
      </c>
      <c r="L14" s="267"/>
      <c r="M14" s="266">
        <f>K14/K16*100</f>
        <v>96.419204254475929</v>
      </c>
      <c r="P14" s="45"/>
      <c r="Q14" s="45"/>
      <c r="R14" s="45"/>
      <c r="S14" s="45"/>
      <c r="T14" s="45"/>
      <c r="U14" s="45"/>
      <c r="V14" s="45"/>
      <c r="W14" s="45"/>
      <c r="X14" s="45"/>
      <c r="Y14" s="45"/>
      <c r="Z14" s="45"/>
      <c r="AA14" s="45"/>
      <c r="AB14" s="45"/>
      <c r="AC14" s="45"/>
      <c r="AD14" s="45"/>
      <c r="AE14" s="45"/>
      <c r="AF14" s="45"/>
      <c r="AG14" s="45"/>
      <c r="AH14" s="45"/>
    </row>
    <row r="15" spans="2:34" ht="5.25" customHeight="1" x14ac:dyDescent="0.2">
      <c r="B15" s="39"/>
      <c r="C15" s="267"/>
      <c r="D15" s="267"/>
      <c r="E15" s="266"/>
      <c r="F15" s="4"/>
      <c r="G15" s="267"/>
      <c r="H15" s="267"/>
      <c r="I15" s="266"/>
      <c r="J15" s="4"/>
      <c r="K15" s="4"/>
      <c r="L15" s="267"/>
      <c r="M15" s="266"/>
      <c r="P15" s="45"/>
      <c r="Q15" s="45"/>
      <c r="R15" s="45"/>
      <c r="S15" s="45"/>
      <c r="T15" s="45"/>
      <c r="U15" s="45"/>
      <c r="V15" s="45"/>
      <c r="W15" s="45"/>
      <c r="X15" s="45"/>
      <c r="Y15" s="45"/>
      <c r="Z15" s="45"/>
      <c r="AA15" s="45"/>
      <c r="AB15" s="45"/>
      <c r="AC15" s="45"/>
      <c r="AD15" s="45"/>
      <c r="AE15" s="45"/>
      <c r="AF15" s="45"/>
      <c r="AG15" s="45"/>
      <c r="AH15" s="45"/>
    </row>
    <row r="16" spans="2:34" ht="30" customHeight="1" x14ac:dyDescent="0.2">
      <c r="B16" s="410" t="s">
        <v>6</v>
      </c>
      <c r="C16" s="411">
        <f>SUM(C7:C15)</f>
        <v>58</v>
      </c>
      <c r="D16" s="411"/>
      <c r="E16" s="412">
        <f>SUM(E7:E15)</f>
        <v>100</v>
      </c>
      <c r="F16" s="413"/>
      <c r="G16" s="411">
        <f>SUM(G7:G15)</f>
        <v>74366</v>
      </c>
      <c r="H16" s="411"/>
      <c r="I16" s="412">
        <f>SUM(I7:I15)</f>
        <v>99.999999999999986</v>
      </c>
      <c r="J16" s="413"/>
      <c r="K16" s="411">
        <f>SUM(K7:K15)</f>
        <v>7781734</v>
      </c>
      <c r="L16" s="411"/>
      <c r="M16" s="412">
        <f>SUM(M7:M15)</f>
        <v>100</v>
      </c>
      <c r="N16" s="414"/>
      <c r="P16" s="45"/>
      <c r="Q16" s="45"/>
      <c r="R16" s="45"/>
      <c r="S16" s="45"/>
      <c r="T16" s="45"/>
      <c r="U16" s="45"/>
      <c r="V16" s="45"/>
      <c r="W16" s="45"/>
      <c r="X16" s="45"/>
      <c r="Y16" s="45"/>
      <c r="Z16" s="45"/>
      <c r="AA16" s="45"/>
      <c r="AB16" s="45"/>
      <c r="AC16" s="45"/>
      <c r="AD16" s="45"/>
      <c r="AE16" s="45"/>
      <c r="AF16" s="45"/>
      <c r="AG16" s="45"/>
      <c r="AH16" s="45"/>
    </row>
    <row r="17" spans="2:34" s="1" customFormat="1" ht="29.25" customHeight="1" x14ac:dyDescent="0.2">
      <c r="B17" s="5" t="s">
        <v>217</v>
      </c>
      <c r="C17" s="84"/>
      <c r="D17" s="84"/>
      <c r="E17" s="84"/>
      <c r="F17" s="84"/>
      <c r="G17" s="84"/>
      <c r="H17" s="84"/>
      <c r="I17" s="84"/>
      <c r="J17" s="84"/>
      <c r="K17" s="84"/>
      <c r="L17" s="84"/>
      <c r="M17" s="84"/>
      <c r="P17" s="76"/>
      <c r="Q17" s="76"/>
      <c r="R17" s="76"/>
      <c r="S17" s="76"/>
      <c r="T17" s="76"/>
      <c r="U17" s="76"/>
      <c r="V17" s="85"/>
      <c r="W17" s="86"/>
      <c r="X17" s="85"/>
      <c r="Y17" s="87"/>
      <c r="Z17" s="85"/>
      <c r="AA17" s="87"/>
      <c r="AB17" s="76"/>
      <c r="AC17" s="76"/>
      <c r="AD17" s="76"/>
      <c r="AE17" s="76"/>
      <c r="AF17" s="76"/>
      <c r="AG17" s="76"/>
      <c r="AH17" s="76"/>
    </row>
    <row r="18" spans="2:34" s="1" customFormat="1" ht="20.45" customHeight="1" x14ac:dyDescent="0.2">
      <c r="B18" s="10" t="s">
        <v>257</v>
      </c>
      <c r="C18" s="84"/>
      <c r="D18" s="11"/>
      <c r="E18" s="11"/>
      <c r="F18" s="11"/>
      <c r="G18" s="11"/>
      <c r="H18" s="11"/>
      <c r="I18" s="12"/>
      <c r="J18" s="12"/>
      <c r="K18" s="12"/>
      <c r="L18" s="12"/>
      <c r="M18" s="84"/>
      <c r="P18" s="76"/>
      <c r="Q18" s="76"/>
      <c r="R18" s="76"/>
      <c r="S18" s="76"/>
      <c r="T18" s="76"/>
      <c r="U18" s="76"/>
      <c r="V18" s="76"/>
      <c r="W18" s="88"/>
      <c r="X18" s="89"/>
      <c r="Y18" s="88"/>
      <c r="Z18" s="89"/>
      <c r="AA18" s="87"/>
      <c r="AB18" s="76"/>
      <c r="AC18" s="76"/>
      <c r="AD18" s="76"/>
      <c r="AE18" s="76"/>
      <c r="AF18" s="76"/>
      <c r="AG18" s="76"/>
      <c r="AH18" s="76"/>
    </row>
    <row r="19" spans="2:34" s="1" customFormat="1" ht="19.149999999999999" customHeight="1" x14ac:dyDescent="0.2">
      <c r="B19" s="16" t="s">
        <v>245</v>
      </c>
      <c r="C19" s="84"/>
      <c r="D19" s="84"/>
      <c r="E19" s="90"/>
      <c r="F19" s="90"/>
      <c r="G19" s="90"/>
      <c r="H19" s="90"/>
      <c r="I19" s="91"/>
      <c r="J19" s="92"/>
      <c r="K19" s="92"/>
      <c r="L19" s="84"/>
      <c r="M19" s="84"/>
      <c r="P19" s="76"/>
      <c r="Q19" s="76"/>
      <c r="R19" s="76"/>
      <c r="S19" s="76"/>
      <c r="T19" s="76"/>
      <c r="U19" s="76"/>
      <c r="V19" s="76"/>
      <c r="W19" s="76"/>
      <c r="X19" s="76"/>
      <c r="Y19" s="76"/>
      <c r="Z19" s="76"/>
      <c r="AA19" s="76"/>
      <c r="AB19" s="76"/>
      <c r="AC19" s="76"/>
      <c r="AD19" s="76"/>
      <c r="AE19" s="76"/>
      <c r="AF19" s="76"/>
      <c r="AG19" s="76"/>
      <c r="AH19" s="76"/>
    </row>
    <row r="20" spans="2:34" x14ac:dyDescent="0.2">
      <c r="P20" s="45"/>
      <c r="Q20" s="45"/>
      <c r="R20" s="45"/>
      <c r="S20" s="45"/>
      <c r="T20" s="45"/>
      <c r="U20" s="45"/>
      <c r="V20" s="45"/>
      <c r="W20" s="45"/>
      <c r="X20" s="45"/>
      <c r="Y20" s="45"/>
      <c r="Z20" s="45"/>
      <c r="AA20" s="45"/>
      <c r="AB20" s="45"/>
      <c r="AC20" s="45"/>
      <c r="AD20" s="45"/>
      <c r="AE20" s="45"/>
      <c r="AF20" s="45"/>
      <c r="AG20" s="45"/>
      <c r="AH20" s="45"/>
    </row>
    <row r="21" spans="2:34" x14ac:dyDescent="0.2">
      <c r="P21" s="45"/>
      <c r="Q21" s="45"/>
      <c r="R21" s="45"/>
      <c r="S21" s="45"/>
      <c r="T21" s="45"/>
      <c r="U21" s="45"/>
      <c r="V21" s="45"/>
      <c r="W21" s="45"/>
      <c r="X21" s="45"/>
      <c r="Y21" s="45"/>
      <c r="Z21" s="45"/>
      <c r="AA21" s="45"/>
      <c r="AB21" s="45"/>
      <c r="AC21" s="45"/>
      <c r="AD21" s="45"/>
      <c r="AE21" s="45"/>
      <c r="AF21" s="45"/>
      <c r="AG21" s="45"/>
      <c r="AH21" s="45"/>
    </row>
    <row r="22" spans="2:34" x14ac:dyDescent="0.2">
      <c r="P22" s="45"/>
      <c r="Q22" s="45"/>
      <c r="R22" s="45"/>
      <c r="S22" s="45"/>
      <c r="T22" s="45"/>
      <c r="U22" s="45"/>
      <c r="V22" s="45"/>
      <c r="W22" s="45"/>
      <c r="X22" s="45"/>
      <c r="Y22" s="45"/>
      <c r="Z22" s="45"/>
      <c r="AA22" s="45"/>
      <c r="AB22" s="45"/>
      <c r="AC22" s="45"/>
      <c r="AD22" s="45"/>
      <c r="AE22" s="45"/>
      <c r="AF22" s="45"/>
      <c r="AG22" s="45"/>
      <c r="AH22" s="45"/>
    </row>
    <row r="23" spans="2:34" x14ac:dyDescent="0.2">
      <c r="P23" s="45"/>
      <c r="Q23" s="45"/>
      <c r="R23" s="45"/>
      <c r="S23" s="45"/>
      <c r="T23" s="45"/>
      <c r="U23" s="45"/>
      <c r="V23" s="45"/>
      <c r="W23" s="45"/>
      <c r="X23" s="45"/>
      <c r="Y23" s="45"/>
      <c r="Z23" s="45"/>
      <c r="AA23" s="45"/>
      <c r="AB23" s="45"/>
      <c r="AC23" s="45"/>
      <c r="AD23" s="45"/>
      <c r="AE23" s="45"/>
      <c r="AF23" s="45"/>
      <c r="AG23" s="45"/>
      <c r="AH23" s="45"/>
    </row>
    <row r="24" spans="2:34" x14ac:dyDescent="0.2">
      <c r="P24" s="45"/>
      <c r="Q24" s="45"/>
      <c r="R24" s="45"/>
      <c r="S24" s="45"/>
      <c r="T24" s="45"/>
      <c r="U24" s="45"/>
      <c r="V24" s="45"/>
      <c r="W24" s="45"/>
      <c r="X24" s="45"/>
      <c r="Y24" s="45"/>
      <c r="Z24" s="45"/>
      <c r="AA24" s="45"/>
      <c r="AB24" s="45"/>
      <c r="AC24" s="45"/>
      <c r="AD24" s="45"/>
      <c r="AE24" s="45"/>
      <c r="AF24" s="45"/>
      <c r="AG24" s="45"/>
      <c r="AH24" s="45"/>
    </row>
    <row r="25" spans="2:34" x14ac:dyDescent="0.2">
      <c r="P25" s="45"/>
      <c r="Q25" s="45"/>
      <c r="R25" s="45"/>
      <c r="S25" s="45"/>
      <c r="T25" s="45"/>
      <c r="U25" s="45"/>
      <c r="V25" s="45"/>
      <c r="W25" s="45"/>
      <c r="X25" s="45"/>
      <c r="Y25" s="45"/>
      <c r="Z25" s="45"/>
      <c r="AA25" s="45"/>
      <c r="AB25" s="45"/>
      <c r="AC25" s="45"/>
      <c r="AD25" s="45"/>
      <c r="AE25" s="45"/>
      <c r="AF25" s="45"/>
      <c r="AG25" s="45"/>
      <c r="AH25" s="45"/>
    </row>
    <row r="26" spans="2:34" x14ac:dyDescent="0.2">
      <c r="P26" s="45"/>
      <c r="Q26" s="45"/>
      <c r="R26" s="45"/>
      <c r="S26" s="45"/>
      <c r="T26" s="45"/>
      <c r="U26" s="45"/>
      <c r="V26" s="45"/>
      <c r="W26" s="45"/>
      <c r="X26" s="45"/>
      <c r="Y26" s="45"/>
      <c r="Z26" s="45"/>
      <c r="AA26" s="45"/>
      <c r="AB26" s="45"/>
      <c r="AC26" s="45"/>
      <c r="AD26" s="45"/>
      <c r="AE26" s="45"/>
      <c r="AF26" s="45"/>
      <c r="AG26" s="45"/>
      <c r="AH26" s="45"/>
    </row>
    <row r="27" spans="2:34" x14ac:dyDescent="0.2">
      <c r="P27" s="45"/>
      <c r="Q27" s="45"/>
      <c r="R27" s="45"/>
      <c r="S27" s="45"/>
      <c r="T27" s="45"/>
      <c r="U27" s="45"/>
      <c r="V27" s="45"/>
      <c r="W27" s="45"/>
      <c r="X27" s="45"/>
      <c r="Y27" s="45"/>
      <c r="Z27" s="45"/>
      <c r="AA27" s="45"/>
      <c r="AB27" s="45"/>
      <c r="AC27" s="45"/>
      <c r="AD27" s="45"/>
      <c r="AE27" s="45"/>
      <c r="AF27" s="45"/>
      <c r="AG27" s="45"/>
      <c r="AH27" s="45"/>
    </row>
    <row r="28" spans="2:34" x14ac:dyDescent="0.2">
      <c r="P28" s="45"/>
      <c r="Q28" s="45"/>
      <c r="R28" s="45"/>
      <c r="S28" s="45"/>
      <c r="T28" s="45"/>
      <c r="U28" s="45"/>
      <c r="V28" s="45"/>
      <c r="W28" s="45"/>
      <c r="X28" s="45"/>
      <c r="Y28" s="45"/>
      <c r="Z28" s="45"/>
      <c r="AA28" s="45"/>
      <c r="AB28" s="45"/>
      <c r="AC28" s="45"/>
      <c r="AD28" s="45"/>
      <c r="AE28" s="45"/>
      <c r="AF28" s="45"/>
      <c r="AG28" s="45"/>
      <c r="AH28" s="45"/>
    </row>
    <row r="29" spans="2:34" x14ac:dyDescent="0.2">
      <c r="P29" s="45"/>
      <c r="Q29" s="45"/>
      <c r="R29" s="45"/>
      <c r="S29" s="45"/>
      <c r="T29" s="45"/>
      <c r="U29" s="45"/>
      <c r="V29" s="45"/>
      <c r="W29" s="45"/>
      <c r="X29" s="45"/>
      <c r="Y29" s="45"/>
      <c r="Z29" s="45"/>
      <c r="AA29" s="45"/>
      <c r="AB29" s="45"/>
      <c r="AC29" s="45"/>
      <c r="AD29" s="45"/>
      <c r="AE29" s="45"/>
      <c r="AF29" s="45"/>
      <c r="AG29" s="45"/>
      <c r="AH29" s="45"/>
    </row>
    <row r="30" spans="2:34" x14ac:dyDescent="0.2">
      <c r="P30" s="45"/>
      <c r="Q30" s="45"/>
      <c r="R30" s="45"/>
      <c r="S30" s="45"/>
      <c r="T30" s="45"/>
      <c r="U30" s="45"/>
      <c r="V30" s="45"/>
      <c r="W30" s="45"/>
      <c r="X30" s="45"/>
      <c r="Y30" s="45"/>
      <c r="Z30" s="45"/>
      <c r="AA30" s="45"/>
      <c r="AB30" s="45"/>
      <c r="AC30" s="45"/>
      <c r="AD30" s="45"/>
      <c r="AE30" s="45"/>
      <c r="AF30" s="45"/>
      <c r="AG30" s="45"/>
      <c r="AH30" s="45"/>
    </row>
    <row r="31" spans="2:34" x14ac:dyDescent="0.2">
      <c r="P31" s="45"/>
      <c r="Q31" s="45"/>
      <c r="R31" s="45"/>
      <c r="S31" s="45"/>
      <c r="T31" s="45"/>
      <c r="U31" s="45"/>
      <c r="V31" s="45"/>
      <c r="W31" s="45"/>
      <c r="X31" s="45"/>
      <c r="Y31" s="45"/>
      <c r="Z31" s="45"/>
      <c r="AA31" s="45"/>
      <c r="AB31" s="45"/>
      <c r="AC31" s="45"/>
      <c r="AD31" s="45"/>
      <c r="AE31" s="45"/>
      <c r="AF31" s="45"/>
      <c r="AG31" s="45"/>
      <c r="AH31" s="45"/>
    </row>
    <row r="32" spans="2:34" x14ac:dyDescent="0.2">
      <c r="P32" s="45"/>
      <c r="Q32" s="45"/>
      <c r="R32" s="45"/>
      <c r="S32" s="45"/>
      <c r="T32" s="45"/>
      <c r="U32" s="45"/>
      <c r="V32" s="45"/>
      <c r="W32" s="45"/>
      <c r="X32" s="45"/>
      <c r="Y32" s="45"/>
      <c r="Z32" s="45"/>
      <c r="AA32" s="45"/>
      <c r="AB32" s="45"/>
      <c r="AC32" s="45"/>
      <c r="AD32" s="45"/>
      <c r="AE32" s="45"/>
      <c r="AF32" s="45"/>
      <c r="AG32" s="45"/>
      <c r="AH32" s="45"/>
    </row>
    <row r="33" spans="16:34" x14ac:dyDescent="0.2">
      <c r="P33" s="45"/>
      <c r="Q33" s="45"/>
      <c r="R33" s="45"/>
      <c r="S33" s="45"/>
      <c r="T33" s="45"/>
      <c r="U33" s="45"/>
      <c r="V33" s="45"/>
      <c r="W33" s="45"/>
      <c r="X33" s="45"/>
      <c r="Y33" s="45"/>
      <c r="Z33" s="45"/>
      <c r="AA33" s="45"/>
      <c r="AB33" s="45"/>
      <c r="AC33" s="45"/>
      <c r="AD33" s="45"/>
      <c r="AE33" s="45"/>
      <c r="AF33" s="45"/>
      <c r="AG33" s="45"/>
      <c r="AH33" s="45"/>
    </row>
    <row r="34" spans="16:34" x14ac:dyDescent="0.2">
      <c r="P34" s="45"/>
      <c r="Q34" s="45"/>
      <c r="R34" s="45"/>
      <c r="S34" s="45"/>
      <c r="T34" s="45"/>
      <c r="U34" s="45"/>
      <c r="V34" s="45"/>
      <c r="W34" s="45"/>
      <c r="X34" s="45"/>
      <c r="Y34" s="45"/>
      <c r="Z34" s="45"/>
      <c r="AA34" s="45"/>
      <c r="AB34" s="45"/>
      <c r="AC34" s="45"/>
      <c r="AD34" s="45"/>
      <c r="AE34" s="45"/>
      <c r="AF34" s="45"/>
      <c r="AG34" s="45"/>
      <c r="AH34" s="45"/>
    </row>
    <row r="35" spans="16:34" x14ac:dyDescent="0.2">
      <c r="P35" s="45"/>
      <c r="Q35" s="45"/>
      <c r="R35" s="45"/>
      <c r="S35" s="45"/>
      <c r="T35" s="45"/>
      <c r="U35" s="45"/>
      <c r="V35" s="45"/>
      <c r="W35" s="45"/>
      <c r="X35" s="45"/>
      <c r="Y35" s="45"/>
      <c r="Z35" s="45"/>
      <c r="AA35" s="45"/>
      <c r="AB35" s="45"/>
      <c r="AC35" s="45"/>
      <c r="AD35" s="45"/>
      <c r="AE35" s="45"/>
      <c r="AF35" s="45"/>
      <c r="AG35" s="45"/>
      <c r="AH35" s="45"/>
    </row>
    <row r="36" spans="16:34" x14ac:dyDescent="0.2">
      <c r="P36" s="45"/>
      <c r="Q36" s="45"/>
      <c r="R36" s="45"/>
      <c r="S36" s="45"/>
      <c r="T36" s="45"/>
      <c r="U36" s="45"/>
      <c r="V36" s="45"/>
      <c r="W36" s="45"/>
      <c r="X36" s="45"/>
      <c r="Y36" s="45"/>
      <c r="Z36" s="45"/>
      <c r="AA36" s="45"/>
      <c r="AB36" s="45"/>
      <c r="AC36" s="45"/>
      <c r="AD36" s="45"/>
      <c r="AE36" s="45"/>
      <c r="AF36" s="45"/>
      <c r="AG36" s="45"/>
      <c r="AH36" s="45"/>
    </row>
    <row r="37" spans="16:34" x14ac:dyDescent="0.2">
      <c r="P37" s="45"/>
      <c r="Q37" s="45"/>
      <c r="R37" s="45"/>
      <c r="S37" s="45"/>
      <c r="T37" s="45"/>
      <c r="U37" s="45"/>
      <c r="V37" s="45"/>
      <c r="W37" s="45"/>
      <c r="X37" s="45"/>
      <c r="Y37" s="45"/>
      <c r="Z37" s="45"/>
      <c r="AA37" s="45"/>
      <c r="AB37" s="45"/>
      <c r="AC37" s="45"/>
      <c r="AD37" s="45"/>
      <c r="AE37" s="45"/>
      <c r="AF37" s="45"/>
      <c r="AG37" s="45"/>
      <c r="AH37" s="45"/>
    </row>
    <row r="38" spans="16:34" x14ac:dyDescent="0.2">
      <c r="P38" s="45"/>
      <c r="Q38" s="45"/>
      <c r="R38" s="45"/>
      <c r="S38" s="45"/>
      <c r="T38" s="45"/>
      <c r="U38" s="45"/>
      <c r="V38" s="45"/>
      <c r="W38" s="45"/>
      <c r="X38" s="45"/>
      <c r="Y38" s="45"/>
      <c r="Z38" s="45"/>
      <c r="AA38" s="45"/>
      <c r="AB38" s="45"/>
      <c r="AC38" s="45"/>
      <c r="AD38" s="45"/>
      <c r="AE38" s="45"/>
      <c r="AF38" s="45"/>
      <c r="AG38" s="45"/>
      <c r="AH38" s="45"/>
    </row>
    <row r="39" spans="16:34" x14ac:dyDescent="0.2">
      <c r="P39" s="45"/>
      <c r="Q39" s="45"/>
      <c r="R39" s="45"/>
      <c r="S39" s="45"/>
      <c r="T39" s="45"/>
      <c r="U39" s="45"/>
      <c r="V39" s="45"/>
      <c r="W39" s="45"/>
      <c r="X39" s="45"/>
      <c r="Y39" s="45"/>
      <c r="Z39" s="45"/>
      <c r="AA39" s="45"/>
      <c r="AB39" s="45"/>
      <c r="AC39" s="45"/>
      <c r="AD39" s="45"/>
      <c r="AE39" s="45"/>
      <c r="AF39" s="45"/>
      <c r="AG39" s="45"/>
      <c r="AH39" s="45"/>
    </row>
    <row r="40" spans="16:34" x14ac:dyDescent="0.2">
      <c r="P40" s="45"/>
      <c r="Q40" s="45"/>
      <c r="R40" s="45"/>
      <c r="S40" s="45"/>
      <c r="T40" s="45"/>
      <c r="U40" s="45"/>
      <c r="V40" s="45"/>
      <c r="W40" s="45"/>
      <c r="X40" s="45"/>
      <c r="Y40" s="45"/>
      <c r="Z40" s="45"/>
      <c r="AA40" s="45"/>
      <c r="AB40" s="45"/>
      <c r="AC40" s="45"/>
      <c r="AD40" s="45"/>
      <c r="AE40" s="45"/>
      <c r="AF40" s="45"/>
      <c r="AG40" s="45"/>
      <c r="AH40" s="45"/>
    </row>
    <row r="41" spans="16:34" x14ac:dyDescent="0.2">
      <c r="P41" s="45"/>
      <c r="Q41" s="45"/>
      <c r="R41" s="45"/>
      <c r="S41" s="45"/>
      <c r="T41" s="45"/>
      <c r="U41" s="45"/>
      <c r="V41" s="45"/>
      <c r="W41" s="45"/>
      <c r="X41" s="45"/>
      <c r="Y41" s="45"/>
      <c r="Z41" s="45"/>
      <c r="AA41" s="45"/>
      <c r="AB41" s="45"/>
      <c r="AC41" s="45"/>
      <c r="AD41" s="45"/>
      <c r="AE41" s="45"/>
      <c r="AF41" s="45"/>
      <c r="AG41" s="45"/>
      <c r="AH41" s="45"/>
    </row>
    <row r="42" spans="16:34" x14ac:dyDescent="0.2">
      <c r="P42" s="45"/>
      <c r="Q42" s="45"/>
      <c r="R42" s="45"/>
      <c r="S42" s="45"/>
      <c r="T42" s="45"/>
      <c r="U42" s="45"/>
      <c r="V42" s="45"/>
      <c r="W42" s="45"/>
      <c r="X42" s="45"/>
      <c r="Y42" s="45"/>
      <c r="Z42" s="45"/>
      <c r="AA42" s="45"/>
      <c r="AB42" s="45"/>
      <c r="AC42" s="45"/>
      <c r="AD42" s="45"/>
      <c r="AE42" s="45"/>
      <c r="AF42" s="45"/>
      <c r="AG42" s="45"/>
      <c r="AH42" s="45"/>
    </row>
    <row r="43" spans="16:34" x14ac:dyDescent="0.2">
      <c r="P43" s="45"/>
      <c r="Q43" s="45"/>
      <c r="R43" s="45"/>
      <c r="S43" s="45"/>
      <c r="T43" s="45"/>
      <c r="U43" s="45"/>
      <c r="V43" s="45"/>
      <c r="W43" s="45"/>
      <c r="X43" s="45"/>
      <c r="Y43" s="45"/>
      <c r="Z43" s="45"/>
      <c r="AA43" s="45"/>
      <c r="AB43" s="45"/>
      <c r="AC43" s="45"/>
      <c r="AD43" s="45"/>
      <c r="AE43" s="45"/>
      <c r="AF43" s="45"/>
      <c r="AG43" s="45"/>
      <c r="AH43" s="45"/>
    </row>
    <row r="44" spans="16:34" x14ac:dyDescent="0.2">
      <c r="P44" s="45"/>
      <c r="Q44" s="45"/>
      <c r="R44" s="45"/>
      <c r="S44" s="45"/>
      <c r="T44" s="45"/>
      <c r="U44" s="45"/>
      <c r="V44" s="45"/>
      <c r="W44" s="45"/>
      <c r="X44" s="45"/>
      <c r="Y44" s="45"/>
      <c r="Z44" s="45"/>
      <c r="AA44" s="45"/>
      <c r="AB44" s="45"/>
      <c r="AC44" s="45"/>
      <c r="AD44" s="45"/>
      <c r="AE44" s="45"/>
      <c r="AF44" s="45"/>
      <c r="AG44" s="45"/>
      <c r="AH44" s="45"/>
    </row>
    <row r="45" spans="16:34" x14ac:dyDescent="0.2">
      <c r="P45" s="45"/>
      <c r="Q45" s="45"/>
      <c r="R45" s="45"/>
      <c r="S45" s="45"/>
      <c r="T45" s="45"/>
      <c r="U45" s="45"/>
      <c r="V45" s="45"/>
      <c r="W45" s="45"/>
      <c r="X45" s="45"/>
      <c r="Y45" s="45"/>
      <c r="Z45" s="45"/>
      <c r="AA45" s="45"/>
      <c r="AB45" s="45"/>
      <c r="AC45" s="45"/>
      <c r="AD45" s="45"/>
      <c r="AE45" s="45"/>
      <c r="AF45" s="45"/>
      <c r="AG45" s="45"/>
      <c r="AH45" s="45"/>
    </row>
    <row r="46" spans="16:34" x14ac:dyDescent="0.2">
      <c r="P46" s="45"/>
      <c r="Q46" s="45"/>
      <c r="R46" s="45"/>
      <c r="S46" s="45"/>
      <c r="T46" s="45"/>
      <c r="U46" s="45"/>
      <c r="V46" s="45"/>
      <c r="W46" s="45"/>
      <c r="X46" s="45"/>
      <c r="Y46" s="45"/>
      <c r="Z46" s="45"/>
      <c r="AA46" s="45"/>
      <c r="AB46" s="45"/>
      <c r="AC46" s="45"/>
      <c r="AD46" s="45"/>
      <c r="AE46" s="45"/>
      <c r="AF46" s="45"/>
      <c r="AG46" s="45"/>
      <c r="AH46" s="45"/>
    </row>
    <row r="47" spans="16:34" x14ac:dyDescent="0.2">
      <c r="P47" s="45"/>
      <c r="Q47" s="45"/>
      <c r="R47" s="45"/>
      <c r="S47" s="45"/>
      <c r="T47" s="45"/>
      <c r="U47" s="45"/>
      <c r="V47" s="45"/>
      <c r="W47" s="45"/>
      <c r="X47" s="45"/>
      <c r="Y47" s="45"/>
      <c r="Z47" s="45"/>
      <c r="AA47" s="45"/>
      <c r="AB47" s="45"/>
      <c r="AC47" s="45"/>
      <c r="AD47" s="45"/>
      <c r="AE47" s="45"/>
      <c r="AF47" s="45"/>
      <c r="AG47" s="45"/>
      <c r="AH47" s="45"/>
    </row>
    <row r="48" spans="16:34" x14ac:dyDescent="0.2">
      <c r="P48" s="45"/>
      <c r="Q48" s="45"/>
      <c r="R48" s="45"/>
      <c r="S48" s="45"/>
      <c r="T48" s="45"/>
      <c r="U48" s="45"/>
      <c r="V48" s="45"/>
      <c r="W48" s="45"/>
      <c r="X48" s="45"/>
      <c r="Y48" s="45"/>
      <c r="Z48" s="45"/>
      <c r="AA48" s="45"/>
      <c r="AB48" s="45"/>
      <c r="AC48" s="45"/>
      <c r="AD48" s="45"/>
      <c r="AE48" s="45"/>
      <c r="AF48" s="45"/>
      <c r="AG48" s="45"/>
      <c r="AH48" s="45"/>
    </row>
    <row r="49" spans="16:34" x14ac:dyDescent="0.2">
      <c r="P49" s="45"/>
      <c r="Q49" s="45"/>
      <c r="R49" s="45"/>
      <c r="S49" s="45"/>
      <c r="T49" s="45"/>
      <c r="U49" s="45"/>
      <c r="V49" s="45"/>
      <c r="W49" s="45"/>
      <c r="X49" s="45"/>
      <c r="Y49" s="45"/>
      <c r="Z49" s="45"/>
      <c r="AA49" s="45"/>
      <c r="AB49" s="45"/>
      <c r="AC49" s="45"/>
      <c r="AD49" s="45"/>
      <c r="AE49" s="45"/>
      <c r="AF49" s="45"/>
      <c r="AG49" s="45"/>
      <c r="AH49" s="45"/>
    </row>
    <row r="50" spans="16:34" x14ac:dyDescent="0.2">
      <c r="P50" s="45"/>
      <c r="Q50" s="45"/>
      <c r="R50" s="45"/>
      <c r="S50" s="45"/>
      <c r="T50" s="45"/>
      <c r="U50" s="45"/>
      <c r="V50" s="45"/>
      <c r="W50" s="45"/>
      <c r="X50" s="45"/>
      <c r="Y50" s="45"/>
      <c r="Z50" s="45"/>
      <c r="AA50" s="45"/>
      <c r="AB50" s="45"/>
      <c r="AC50" s="45"/>
      <c r="AD50" s="45"/>
      <c r="AE50" s="45"/>
      <c r="AF50" s="45"/>
      <c r="AG50" s="45"/>
      <c r="AH50" s="45"/>
    </row>
    <row r="51" spans="16:34" x14ac:dyDescent="0.2">
      <c r="P51" s="45"/>
      <c r="Q51" s="45"/>
      <c r="R51" s="45"/>
      <c r="S51" s="45"/>
      <c r="T51" s="45"/>
      <c r="U51" s="45"/>
      <c r="V51" s="45"/>
      <c r="W51" s="45"/>
      <c r="X51" s="45"/>
      <c r="Y51" s="45"/>
      <c r="Z51" s="45"/>
      <c r="AA51" s="45"/>
      <c r="AB51" s="45"/>
      <c r="AC51" s="45"/>
      <c r="AD51" s="45"/>
      <c r="AE51" s="45"/>
      <c r="AF51" s="45"/>
      <c r="AG51" s="45"/>
      <c r="AH51" s="45"/>
    </row>
    <row r="52" spans="16:34" x14ac:dyDescent="0.2">
      <c r="P52" s="45"/>
      <c r="Q52" s="45"/>
      <c r="R52" s="45"/>
      <c r="S52" s="45"/>
      <c r="T52" s="45"/>
      <c r="U52" s="45"/>
      <c r="V52" s="45"/>
      <c r="W52" s="45"/>
      <c r="X52" s="45"/>
      <c r="Y52" s="45"/>
      <c r="Z52" s="45"/>
      <c r="AA52" s="45"/>
      <c r="AB52" s="45"/>
      <c r="AC52" s="45"/>
      <c r="AD52" s="45"/>
      <c r="AE52" s="45"/>
      <c r="AF52" s="45"/>
      <c r="AG52" s="45"/>
      <c r="AH52" s="45"/>
    </row>
    <row r="53" spans="16:34" x14ac:dyDescent="0.2">
      <c r="P53" s="45"/>
      <c r="Q53" s="45"/>
      <c r="R53" s="45"/>
      <c r="S53" s="45"/>
      <c r="T53" s="45"/>
      <c r="U53" s="45"/>
      <c r="V53" s="45"/>
      <c r="W53" s="45"/>
      <c r="X53" s="45"/>
      <c r="Y53" s="45"/>
      <c r="Z53" s="45"/>
      <c r="AA53" s="45"/>
      <c r="AB53" s="45"/>
      <c r="AC53" s="45"/>
      <c r="AD53" s="45"/>
      <c r="AE53" s="45"/>
      <c r="AF53" s="45"/>
      <c r="AG53" s="45"/>
      <c r="AH53" s="45"/>
    </row>
    <row r="54" spans="16:34" x14ac:dyDescent="0.2">
      <c r="P54" s="45"/>
      <c r="Q54" s="45"/>
      <c r="R54" s="45"/>
      <c r="S54" s="45"/>
      <c r="T54" s="45"/>
      <c r="U54" s="45"/>
      <c r="V54" s="45"/>
      <c r="W54" s="45"/>
      <c r="X54" s="45"/>
      <c r="Y54" s="45"/>
      <c r="Z54" s="45"/>
      <c r="AA54" s="45"/>
      <c r="AB54" s="45"/>
      <c r="AC54" s="45"/>
      <c r="AD54" s="45"/>
      <c r="AE54" s="45"/>
      <c r="AF54" s="45"/>
      <c r="AG54" s="45"/>
      <c r="AH54" s="45"/>
    </row>
    <row r="55" spans="16:34" x14ac:dyDescent="0.2">
      <c r="P55" s="45"/>
      <c r="Q55" s="45"/>
      <c r="R55" s="45"/>
      <c r="S55" s="45"/>
      <c r="T55" s="45"/>
      <c r="U55" s="45"/>
      <c r="V55" s="45"/>
      <c r="W55" s="45"/>
      <c r="X55" s="45"/>
      <c r="Y55" s="45"/>
      <c r="Z55" s="45"/>
      <c r="AA55" s="45"/>
      <c r="AB55" s="45"/>
      <c r="AC55" s="45"/>
      <c r="AD55" s="45"/>
      <c r="AE55" s="45"/>
      <c r="AF55" s="45"/>
      <c r="AG55" s="45"/>
      <c r="AH55" s="45"/>
    </row>
    <row r="56" spans="16:34" x14ac:dyDescent="0.2">
      <c r="P56" s="45"/>
      <c r="Q56" s="45"/>
      <c r="R56" s="45"/>
      <c r="S56" s="45"/>
      <c r="T56" s="45"/>
      <c r="U56" s="45"/>
      <c r="V56" s="45"/>
      <c r="W56" s="45"/>
      <c r="X56" s="45"/>
      <c r="Y56" s="45"/>
      <c r="Z56" s="45"/>
      <c r="AA56" s="45"/>
      <c r="AB56" s="45"/>
      <c r="AC56" s="45"/>
      <c r="AD56" s="45"/>
      <c r="AE56" s="45"/>
      <c r="AF56" s="45"/>
      <c r="AG56" s="45"/>
      <c r="AH56" s="45"/>
    </row>
    <row r="57" spans="16:34" x14ac:dyDescent="0.2">
      <c r="P57" s="45"/>
      <c r="Q57" s="45"/>
      <c r="R57" s="45"/>
      <c r="S57" s="45"/>
      <c r="T57" s="45"/>
      <c r="U57" s="45"/>
      <c r="V57" s="45"/>
      <c r="W57" s="45"/>
      <c r="X57" s="45"/>
      <c r="Y57" s="45"/>
      <c r="Z57" s="45"/>
      <c r="AA57" s="45"/>
      <c r="AB57" s="45"/>
      <c r="AC57" s="45"/>
      <c r="AD57" s="45"/>
      <c r="AE57" s="45"/>
      <c r="AF57" s="45"/>
      <c r="AG57" s="45"/>
      <c r="AH57" s="45"/>
    </row>
    <row r="58" spans="16:34" x14ac:dyDescent="0.2">
      <c r="P58" s="45"/>
      <c r="Q58" s="45"/>
      <c r="R58" s="45"/>
      <c r="S58" s="45"/>
      <c r="T58" s="45"/>
      <c r="U58" s="45"/>
      <c r="V58" s="45"/>
      <c r="W58" s="45"/>
      <c r="X58" s="45"/>
      <c r="Y58" s="45"/>
      <c r="Z58" s="45"/>
      <c r="AA58" s="45"/>
      <c r="AB58" s="45"/>
      <c r="AC58" s="45"/>
      <c r="AD58" s="45"/>
      <c r="AE58" s="45"/>
      <c r="AF58" s="45"/>
      <c r="AG58" s="45"/>
      <c r="AH58" s="45"/>
    </row>
    <row r="59" spans="16:34" x14ac:dyDescent="0.2">
      <c r="P59" s="45"/>
      <c r="Q59" s="45"/>
      <c r="R59" s="45"/>
      <c r="S59" s="45"/>
      <c r="T59" s="45"/>
      <c r="U59" s="45"/>
      <c r="V59" s="45"/>
      <c r="W59" s="45"/>
      <c r="X59" s="45"/>
      <c r="Y59" s="45"/>
      <c r="Z59" s="45"/>
      <c r="AA59" s="45"/>
      <c r="AB59" s="45"/>
      <c r="AC59" s="45"/>
      <c r="AD59" s="45"/>
      <c r="AE59" s="45"/>
      <c r="AF59" s="45"/>
      <c r="AG59" s="45"/>
      <c r="AH59" s="45"/>
    </row>
    <row r="60" spans="16:34" x14ac:dyDescent="0.2">
      <c r="P60" s="45"/>
      <c r="Q60" s="45"/>
      <c r="R60" s="45"/>
      <c r="S60" s="45"/>
      <c r="T60" s="45"/>
      <c r="U60" s="45"/>
      <c r="V60" s="45"/>
      <c r="W60" s="45"/>
      <c r="X60" s="45"/>
      <c r="Y60" s="45"/>
      <c r="Z60" s="45"/>
      <c r="AA60" s="45"/>
      <c r="AB60" s="45"/>
      <c r="AC60" s="45"/>
      <c r="AD60" s="45"/>
      <c r="AE60" s="45"/>
      <c r="AF60" s="45"/>
      <c r="AG60" s="45"/>
      <c r="AH60" s="45"/>
    </row>
    <row r="61" spans="16:34" x14ac:dyDescent="0.2">
      <c r="P61" s="45"/>
      <c r="Q61" s="45"/>
      <c r="R61" s="45"/>
      <c r="S61" s="45"/>
      <c r="T61" s="45"/>
      <c r="U61" s="45"/>
      <c r="V61" s="45"/>
      <c r="W61" s="45"/>
      <c r="X61" s="45"/>
      <c r="Y61" s="45"/>
      <c r="Z61" s="45"/>
      <c r="AA61" s="45"/>
      <c r="AB61" s="45"/>
      <c r="AC61" s="45"/>
      <c r="AD61" s="45"/>
      <c r="AE61" s="45"/>
      <c r="AF61" s="45"/>
      <c r="AG61" s="45"/>
      <c r="AH61" s="45"/>
    </row>
    <row r="62" spans="16:34" x14ac:dyDescent="0.2">
      <c r="P62" s="45"/>
      <c r="Q62" s="45"/>
      <c r="R62" s="45"/>
      <c r="S62" s="45"/>
      <c r="T62" s="45"/>
      <c r="U62" s="45"/>
      <c r="V62" s="45"/>
      <c r="W62" s="45"/>
      <c r="X62" s="45"/>
      <c r="Y62" s="45"/>
      <c r="Z62" s="45"/>
      <c r="AA62" s="45"/>
      <c r="AB62" s="45"/>
      <c r="AC62" s="45"/>
      <c r="AD62" s="45"/>
      <c r="AE62" s="45"/>
      <c r="AF62" s="45"/>
      <c r="AG62" s="45"/>
      <c r="AH62" s="45"/>
    </row>
    <row r="63" spans="16:34" x14ac:dyDescent="0.2">
      <c r="P63" s="45"/>
      <c r="Q63" s="45"/>
      <c r="R63" s="45"/>
      <c r="S63" s="45"/>
      <c r="T63" s="45"/>
      <c r="U63" s="45"/>
      <c r="V63" s="45"/>
      <c r="W63" s="45"/>
      <c r="X63" s="45"/>
      <c r="Y63" s="45"/>
      <c r="Z63" s="45"/>
      <c r="AA63" s="45"/>
      <c r="AB63" s="45"/>
      <c r="AC63" s="45"/>
      <c r="AD63" s="45"/>
      <c r="AE63" s="45"/>
      <c r="AF63" s="45"/>
      <c r="AG63" s="45"/>
      <c r="AH63" s="45"/>
    </row>
    <row r="64" spans="16:34" x14ac:dyDescent="0.2">
      <c r="P64" s="45"/>
      <c r="Q64" s="45"/>
      <c r="R64" s="45"/>
      <c r="S64" s="45"/>
      <c r="T64" s="45"/>
      <c r="U64" s="45"/>
      <c r="V64" s="45"/>
      <c r="W64" s="45"/>
      <c r="X64" s="45"/>
      <c r="Y64" s="45"/>
      <c r="Z64" s="45"/>
      <c r="AA64" s="45"/>
      <c r="AB64" s="45"/>
      <c r="AC64" s="45"/>
      <c r="AD64" s="45"/>
      <c r="AE64" s="45"/>
      <c r="AF64" s="45"/>
      <c r="AG64" s="45"/>
      <c r="AH64" s="45"/>
    </row>
    <row r="65" spans="16:34" x14ac:dyDescent="0.2">
      <c r="P65" s="45"/>
      <c r="Q65" s="45"/>
      <c r="R65" s="45"/>
      <c r="S65" s="45"/>
      <c r="T65" s="45"/>
      <c r="U65" s="45"/>
      <c r="V65" s="45"/>
      <c r="W65" s="45"/>
      <c r="X65" s="45"/>
      <c r="Y65" s="45"/>
      <c r="Z65" s="45"/>
      <c r="AA65" s="45"/>
      <c r="AB65" s="45"/>
      <c r="AC65" s="45"/>
      <c r="AD65" s="45"/>
      <c r="AE65" s="45"/>
      <c r="AF65" s="45"/>
      <c r="AG65" s="45"/>
      <c r="AH65" s="45"/>
    </row>
    <row r="66" spans="16:34" x14ac:dyDescent="0.2">
      <c r="P66" s="45"/>
      <c r="Q66" s="45"/>
      <c r="R66" s="45"/>
      <c r="S66" s="45"/>
      <c r="T66" s="45"/>
      <c r="U66" s="45"/>
      <c r="V66" s="45"/>
      <c r="W66" s="45"/>
      <c r="X66" s="45"/>
      <c r="Y66" s="45"/>
      <c r="Z66" s="45"/>
      <c r="AA66" s="45"/>
      <c r="AB66" s="45"/>
      <c r="AC66" s="45"/>
      <c r="AD66" s="45"/>
      <c r="AE66" s="45"/>
      <c r="AF66" s="45"/>
      <c r="AG66" s="45"/>
      <c r="AH66" s="45"/>
    </row>
    <row r="67" spans="16:34" x14ac:dyDescent="0.2">
      <c r="P67" s="45"/>
      <c r="Q67" s="45"/>
      <c r="R67" s="45"/>
      <c r="S67" s="45"/>
      <c r="T67" s="45"/>
      <c r="U67" s="45"/>
      <c r="V67" s="45"/>
      <c r="W67" s="45"/>
      <c r="X67" s="45"/>
      <c r="Y67" s="45"/>
      <c r="Z67" s="45"/>
      <c r="AA67" s="45"/>
      <c r="AB67" s="45"/>
      <c r="AC67" s="45"/>
      <c r="AD67" s="45"/>
      <c r="AE67" s="45"/>
      <c r="AF67" s="45"/>
      <c r="AG67" s="45"/>
      <c r="AH67" s="45"/>
    </row>
    <row r="68" spans="16:34" x14ac:dyDescent="0.2">
      <c r="P68" s="45"/>
      <c r="Q68" s="45"/>
      <c r="R68" s="45"/>
      <c r="S68" s="45"/>
      <c r="T68" s="45"/>
      <c r="U68" s="45"/>
      <c r="V68" s="45"/>
      <c r="W68" s="45"/>
      <c r="X68" s="45"/>
      <c r="Y68" s="45"/>
      <c r="Z68" s="45"/>
      <c r="AA68" s="45"/>
      <c r="AB68" s="45"/>
      <c r="AC68" s="45"/>
      <c r="AD68" s="45"/>
      <c r="AE68" s="45"/>
      <c r="AF68" s="45"/>
      <c r="AG68" s="45"/>
      <c r="AH68" s="45"/>
    </row>
    <row r="69" spans="16:34" x14ac:dyDescent="0.2">
      <c r="P69" s="45"/>
      <c r="Q69" s="45"/>
      <c r="R69" s="45"/>
      <c r="S69" s="45"/>
      <c r="T69" s="45"/>
      <c r="U69" s="45"/>
      <c r="V69" s="45"/>
      <c r="W69" s="45"/>
      <c r="X69" s="45"/>
      <c r="Y69" s="45"/>
      <c r="Z69" s="45"/>
      <c r="AA69" s="45"/>
      <c r="AB69" s="45"/>
      <c r="AC69" s="45"/>
      <c r="AD69" s="45"/>
      <c r="AE69" s="45"/>
      <c r="AF69" s="45"/>
      <c r="AG69" s="45"/>
      <c r="AH69" s="45"/>
    </row>
    <row r="70" spans="16:34" x14ac:dyDescent="0.2">
      <c r="P70" s="45"/>
      <c r="Q70" s="45"/>
      <c r="R70" s="45"/>
      <c r="S70" s="45"/>
      <c r="T70" s="45"/>
      <c r="U70" s="45"/>
      <c r="V70" s="45"/>
      <c r="W70" s="45"/>
      <c r="X70" s="45"/>
      <c r="Y70" s="45"/>
      <c r="Z70" s="45"/>
      <c r="AA70" s="45"/>
      <c r="AB70" s="45"/>
      <c r="AC70" s="45"/>
      <c r="AD70" s="45"/>
      <c r="AE70" s="45"/>
      <c r="AF70" s="45"/>
      <c r="AG70" s="45"/>
      <c r="AH70" s="45"/>
    </row>
    <row r="71" spans="16:34" x14ac:dyDescent="0.2">
      <c r="P71" s="45"/>
      <c r="Q71" s="45"/>
      <c r="R71" s="45"/>
      <c r="S71" s="45"/>
      <c r="T71" s="45"/>
      <c r="U71" s="45"/>
      <c r="V71" s="45"/>
      <c r="W71" s="45"/>
      <c r="X71" s="45"/>
      <c r="Y71" s="45"/>
      <c r="Z71" s="45"/>
      <c r="AA71" s="45"/>
      <c r="AB71" s="45"/>
      <c r="AC71" s="45"/>
      <c r="AD71" s="45"/>
      <c r="AE71" s="45"/>
      <c r="AF71" s="45"/>
      <c r="AG71" s="45"/>
      <c r="AH71" s="45"/>
    </row>
    <row r="72" spans="16:34" x14ac:dyDescent="0.2">
      <c r="P72" s="45"/>
      <c r="Q72" s="45"/>
      <c r="R72" s="45"/>
      <c r="S72" s="45"/>
      <c r="T72" s="45"/>
      <c r="U72" s="45"/>
      <c r="V72" s="45"/>
      <c r="W72" s="45"/>
      <c r="X72" s="45"/>
      <c r="Y72" s="45"/>
      <c r="Z72" s="45"/>
      <c r="AA72" s="45"/>
      <c r="AB72" s="45"/>
      <c r="AC72" s="45"/>
      <c r="AD72" s="45"/>
      <c r="AE72" s="45"/>
      <c r="AF72" s="45"/>
      <c r="AG72" s="45"/>
      <c r="AH72" s="45"/>
    </row>
    <row r="73" spans="16:34" x14ac:dyDescent="0.2">
      <c r="P73" s="45"/>
      <c r="Q73" s="45"/>
      <c r="R73" s="45"/>
      <c r="S73" s="45"/>
      <c r="T73" s="45"/>
      <c r="U73" s="45"/>
      <c r="V73" s="45"/>
      <c r="W73" s="45"/>
      <c r="X73" s="45"/>
      <c r="Y73" s="45"/>
      <c r="Z73" s="45"/>
      <c r="AA73" s="45"/>
      <c r="AB73" s="45"/>
      <c r="AC73" s="45"/>
      <c r="AD73" s="45"/>
      <c r="AE73" s="45"/>
      <c r="AF73" s="45"/>
      <c r="AG73" s="45"/>
      <c r="AH73" s="45"/>
    </row>
    <row r="74" spans="16:34" x14ac:dyDescent="0.2">
      <c r="P74" s="45"/>
      <c r="Q74" s="45"/>
      <c r="R74" s="45"/>
      <c r="S74" s="45"/>
      <c r="T74" s="45"/>
      <c r="U74" s="45"/>
      <c r="V74" s="45"/>
      <c r="W74" s="45"/>
      <c r="X74" s="45"/>
      <c r="Y74" s="45"/>
      <c r="Z74" s="45"/>
      <c r="AA74" s="45"/>
      <c r="AB74" s="45"/>
      <c r="AC74" s="45"/>
      <c r="AD74" s="45"/>
      <c r="AE74" s="45"/>
      <c r="AF74" s="45"/>
      <c r="AG74" s="45"/>
      <c r="AH74" s="45"/>
    </row>
    <row r="75" spans="16:34" x14ac:dyDescent="0.2">
      <c r="P75" s="45"/>
      <c r="Q75" s="45"/>
      <c r="R75" s="45"/>
      <c r="S75" s="45"/>
      <c r="T75" s="45"/>
      <c r="U75" s="45"/>
      <c r="V75" s="45"/>
      <c r="W75" s="45"/>
      <c r="X75" s="45"/>
      <c r="Y75" s="45"/>
      <c r="Z75" s="45"/>
      <c r="AA75" s="45"/>
      <c r="AB75" s="45"/>
      <c r="AC75" s="45"/>
      <c r="AD75" s="45"/>
      <c r="AE75" s="45"/>
      <c r="AF75" s="45"/>
      <c r="AG75" s="45"/>
      <c r="AH75" s="45"/>
    </row>
    <row r="76" spans="16:34" x14ac:dyDescent="0.2">
      <c r="P76" s="45"/>
      <c r="Q76" s="45"/>
      <c r="R76" s="45"/>
      <c r="S76" s="45"/>
      <c r="T76" s="45"/>
      <c r="U76" s="45"/>
      <c r="V76" s="45"/>
      <c r="W76" s="45"/>
      <c r="X76" s="45"/>
      <c r="Y76" s="45"/>
      <c r="Z76" s="45"/>
      <c r="AA76" s="45"/>
      <c r="AB76" s="45"/>
      <c r="AC76" s="45"/>
      <c r="AD76" s="45"/>
      <c r="AE76" s="45"/>
      <c r="AF76" s="45"/>
      <c r="AG76" s="45"/>
      <c r="AH76" s="45"/>
    </row>
    <row r="77" spans="16:34" x14ac:dyDescent="0.2">
      <c r="P77" s="45"/>
      <c r="Q77" s="45"/>
      <c r="R77" s="45"/>
      <c r="S77" s="45"/>
      <c r="T77" s="45"/>
      <c r="U77" s="45"/>
      <c r="V77" s="45"/>
      <c r="W77" s="45"/>
      <c r="X77" s="45"/>
      <c r="Y77" s="45"/>
      <c r="Z77" s="45"/>
      <c r="AA77" s="45"/>
      <c r="AB77" s="45"/>
      <c r="AC77" s="45"/>
      <c r="AD77" s="45"/>
      <c r="AE77" s="45"/>
      <c r="AF77" s="45"/>
      <c r="AG77" s="45"/>
      <c r="AH77" s="45"/>
    </row>
    <row r="78" spans="16:34" x14ac:dyDescent="0.2">
      <c r="P78" s="45"/>
      <c r="Q78" s="45"/>
      <c r="R78" s="45"/>
      <c r="S78" s="45"/>
      <c r="T78" s="45"/>
      <c r="U78" s="45"/>
      <c r="V78" s="45"/>
      <c r="W78" s="45"/>
      <c r="X78" s="45"/>
      <c r="Y78" s="45"/>
      <c r="Z78" s="45"/>
      <c r="AA78" s="45"/>
      <c r="AB78" s="45"/>
      <c r="AC78" s="45"/>
      <c r="AD78" s="45"/>
      <c r="AE78" s="45"/>
      <c r="AF78" s="45"/>
      <c r="AG78" s="45"/>
      <c r="AH78" s="45"/>
    </row>
    <row r="79" spans="16:34" x14ac:dyDescent="0.2">
      <c r="P79" s="45"/>
      <c r="Q79" s="45"/>
      <c r="R79" s="45"/>
      <c r="S79" s="45"/>
      <c r="T79" s="45"/>
      <c r="U79" s="45"/>
      <c r="V79" s="45"/>
      <c r="W79" s="45"/>
      <c r="X79" s="45"/>
      <c r="Y79" s="45"/>
      <c r="Z79" s="45"/>
      <c r="AA79" s="45"/>
      <c r="AB79" s="45"/>
      <c r="AC79" s="45"/>
      <c r="AD79" s="45"/>
      <c r="AE79" s="45"/>
      <c r="AF79" s="45"/>
      <c r="AG79" s="45"/>
      <c r="AH79" s="45"/>
    </row>
    <row r="80" spans="16:34" x14ac:dyDescent="0.2">
      <c r="P80" s="45"/>
      <c r="Q80" s="45"/>
      <c r="R80" s="45"/>
      <c r="S80" s="45"/>
      <c r="T80" s="45"/>
      <c r="U80" s="45"/>
      <c r="V80" s="45"/>
      <c r="W80" s="45"/>
      <c r="X80" s="45"/>
      <c r="Y80" s="45"/>
      <c r="Z80" s="45"/>
      <c r="AA80" s="45"/>
      <c r="AB80" s="45"/>
      <c r="AC80" s="45"/>
      <c r="AD80" s="45"/>
      <c r="AE80" s="45"/>
      <c r="AF80" s="45"/>
      <c r="AG80" s="45"/>
      <c r="AH80" s="45"/>
    </row>
    <row r="81" spans="16:34" x14ac:dyDescent="0.2">
      <c r="P81" s="45"/>
      <c r="Q81" s="45"/>
      <c r="R81" s="45"/>
      <c r="S81" s="45"/>
      <c r="T81" s="45"/>
      <c r="U81" s="45"/>
      <c r="V81" s="45"/>
      <c r="W81" s="45"/>
      <c r="X81" s="45"/>
      <c r="Y81" s="45"/>
      <c r="Z81" s="45"/>
      <c r="AA81" s="45"/>
      <c r="AB81" s="45"/>
      <c r="AC81" s="45"/>
      <c r="AD81" s="45"/>
      <c r="AE81" s="45"/>
      <c r="AF81" s="45"/>
      <c r="AG81" s="45"/>
      <c r="AH81" s="45"/>
    </row>
    <row r="82" spans="16:34" x14ac:dyDescent="0.2">
      <c r="P82" s="45"/>
      <c r="Q82" s="45"/>
      <c r="R82" s="45"/>
      <c r="S82" s="45"/>
      <c r="T82" s="45"/>
      <c r="U82" s="45"/>
      <c r="V82" s="45"/>
      <c r="W82" s="45"/>
      <c r="X82" s="45"/>
      <c r="Y82" s="45"/>
      <c r="Z82" s="45"/>
      <c r="AA82" s="45"/>
      <c r="AB82" s="45"/>
      <c r="AC82" s="45"/>
      <c r="AD82" s="45"/>
      <c r="AE82" s="45"/>
      <c r="AF82" s="45"/>
      <c r="AG82" s="45"/>
      <c r="AH82" s="45"/>
    </row>
    <row r="83" spans="16:34" x14ac:dyDescent="0.2">
      <c r="P83" s="45"/>
      <c r="Q83" s="45"/>
      <c r="R83" s="45"/>
      <c r="S83" s="45"/>
      <c r="T83" s="45"/>
      <c r="U83" s="45"/>
      <c r="V83" s="45"/>
      <c r="W83" s="45"/>
      <c r="X83" s="45"/>
      <c r="Y83" s="45"/>
      <c r="Z83" s="45"/>
      <c r="AA83" s="45"/>
      <c r="AB83" s="45"/>
      <c r="AC83" s="45"/>
      <c r="AD83" s="45"/>
      <c r="AE83" s="45"/>
      <c r="AF83" s="45"/>
      <c r="AG83" s="45"/>
      <c r="AH83" s="45"/>
    </row>
    <row r="84" spans="16:34" x14ac:dyDescent="0.2">
      <c r="P84" s="45"/>
      <c r="Q84" s="45"/>
      <c r="R84" s="45"/>
      <c r="S84" s="45"/>
      <c r="T84" s="45"/>
      <c r="U84" s="45"/>
      <c r="V84" s="45"/>
      <c r="W84" s="45"/>
      <c r="X84" s="45"/>
      <c r="Y84" s="45"/>
      <c r="Z84" s="45"/>
      <c r="AA84" s="45"/>
      <c r="AB84" s="45"/>
      <c r="AC84" s="45"/>
      <c r="AD84" s="45"/>
      <c r="AE84" s="45"/>
      <c r="AF84" s="45"/>
      <c r="AG84" s="45"/>
      <c r="AH84" s="45"/>
    </row>
    <row r="85" spans="16:34" x14ac:dyDescent="0.2">
      <c r="P85" s="45"/>
      <c r="Q85" s="45"/>
      <c r="R85" s="45"/>
      <c r="S85" s="45"/>
      <c r="T85" s="45"/>
      <c r="U85" s="45"/>
      <c r="V85" s="45"/>
      <c r="W85" s="45"/>
      <c r="X85" s="45"/>
      <c r="Y85" s="45"/>
      <c r="Z85" s="45"/>
      <c r="AA85" s="45"/>
      <c r="AB85" s="45"/>
      <c r="AC85" s="45"/>
      <c r="AD85" s="45"/>
      <c r="AE85" s="45"/>
      <c r="AF85" s="45"/>
      <c r="AG85" s="45"/>
      <c r="AH85" s="45"/>
    </row>
    <row r="86" spans="16:34" x14ac:dyDescent="0.2">
      <c r="P86" s="45"/>
      <c r="Q86" s="45"/>
      <c r="R86" s="45"/>
      <c r="S86" s="45"/>
      <c r="T86" s="45"/>
      <c r="U86" s="45"/>
      <c r="V86" s="45"/>
      <c r="W86" s="45"/>
      <c r="X86" s="45"/>
      <c r="Y86" s="45"/>
      <c r="Z86" s="45"/>
      <c r="AA86" s="45"/>
      <c r="AB86" s="45"/>
      <c r="AC86" s="45"/>
      <c r="AD86" s="45"/>
      <c r="AE86" s="45"/>
      <c r="AF86" s="45"/>
      <c r="AG86" s="45"/>
      <c r="AH86" s="45"/>
    </row>
    <row r="87" spans="16:34" x14ac:dyDescent="0.2">
      <c r="P87" s="45"/>
      <c r="Q87" s="45"/>
      <c r="R87" s="45"/>
      <c r="S87" s="45"/>
      <c r="T87" s="45"/>
      <c r="U87" s="45"/>
      <c r="V87" s="45"/>
      <c r="W87" s="45"/>
      <c r="X87" s="45"/>
      <c r="Y87" s="45"/>
      <c r="Z87" s="45"/>
      <c r="AA87" s="45"/>
      <c r="AB87" s="45"/>
      <c r="AC87" s="45"/>
      <c r="AD87" s="45"/>
      <c r="AE87" s="45"/>
      <c r="AF87" s="45"/>
      <c r="AG87" s="45"/>
      <c r="AH87" s="45"/>
    </row>
    <row r="88" spans="16:34" x14ac:dyDescent="0.2">
      <c r="P88" s="45"/>
      <c r="Q88" s="45"/>
      <c r="R88" s="45"/>
      <c r="S88" s="45"/>
      <c r="T88" s="45"/>
      <c r="U88" s="45"/>
      <c r="V88" s="45"/>
      <c r="W88" s="45"/>
      <c r="X88" s="45"/>
      <c r="Y88" s="45"/>
      <c r="Z88" s="45"/>
      <c r="AA88" s="45"/>
      <c r="AB88" s="45"/>
      <c r="AC88" s="45"/>
      <c r="AD88" s="45"/>
      <c r="AE88" s="45"/>
      <c r="AF88" s="45"/>
      <c r="AG88" s="45"/>
      <c r="AH88" s="45"/>
    </row>
    <row r="89" spans="16:34" x14ac:dyDescent="0.2">
      <c r="P89" s="45"/>
      <c r="Q89" s="45"/>
      <c r="R89" s="45"/>
      <c r="S89" s="45"/>
      <c r="T89" s="45"/>
      <c r="U89" s="45"/>
      <c r="V89" s="45"/>
      <c r="W89" s="45"/>
      <c r="X89" s="45"/>
      <c r="Y89" s="45"/>
      <c r="Z89" s="45"/>
      <c r="AA89" s="45"/>
      <c r="AB89" s="45"/>
      <c r="AC89" s="45"/>
      <c r="AD89" s="45"/>
      <c r="AE89" s="45"/>
      <c r="AF89" s="45"/>
      <c r="AG89" s="45"/>
      <c r="AH89" s="45"/>
    </row>
    <row r="90" spans="16:34" x14ac:dyDescent="0.2">
      <c r="P90" s="45"/>
      <c r="Q90" s="45"/>
      <c r="R90" s="45"/>
      <c r="S90" s="45"/>
      <c r="T90" s="45"/>
      <c r="U90" s="45"/>
      <c r="V90" s="45"/>
      <c r="W90" s="45"/>
      <c r="X90" s="45"/>
      <c r="Y90" s="45"/>
      <c r="Z90" s="45"/>
      <c r="AA90" s="45"/>
      <c r="AB90" s="45"/>
      <c r="AC90" s="45"/>
      <c r="AD90" s="45"/>
      <c r="AE90" s="45"/>
      <c r="AF90" s="45"/>
      <c r="AG90" s="45"/>
      <c r="AH90" s="45"/>
    </row>
    <row r="91" spans="16:34" x14ac:dyDescent="0.2">
      <c r="P91" s="45"/>
      <c r="Q91" s="45"/>
      <c r="R91" s="45"/>
      <c r="S91" s="45"/>
      <c r="T91" s="45"/>
      <c r="U91" s="45"/>
      <c r="V91" s="45"/>
      <c r="W91" s="45"/>
      <c r="X91" s="45"/>
      <c r="Y91" s="45"/>
      <c r="Z91" s="45"/>
      <c r="AA91" s="45"/>
      <c r="AB91" s="45"/>
      <c r="AC91" s="45"/>
      <c r="AD91" s="45"/>
      <c r="AE91" s="45"/>
      <c r="AF91" s="45"/>
      <c r="AG91" s="45"/>
      <c r="AH91" s="45"/>
    </row>
    <row r="92" spans="16:34" x14ac:dyDescent="0.2">
      <c r="P92" s="45"/>
      <c r="Q92" s="45"/>
      <c r="R92" s="45"/>
      <c r="S92" s="45"/>
      <c r="T92" s="45"/>
      <c r="U92" s="45"/>
      <c r="V92" s="45"/>
      <c r="W92" s="45"/>
      <c r="X92" s="45"/>
      <c r="Y92" s="45"/>
      <c r="Z92" s="45"/>
      <c r="AA92" s="45"/>
      <c r="AB92" s="45"/>
      <c r="AC92" s="45"/>
      <c r="AD92" s="45"/>
      <c r="AE92" s="45"/>
      <c r="AF92" s="45"/>
      <c r="AG92" s="45"/>
      <c r="AH92" s="45"/>
    </row>
    <row r="93" spans="16:34" x14ac:dyDescent="0.2">
      <c r="P93" s="45"/>
      <c r="Q93" s="45"/>
      <c r="R93" s="45"/>
      <c r="S93" s="45"/>
      <c r="T93" s="45"/>
      <c r="U93" s="45"/>
      <c r="V93" s="45"/>
      <c r="W93" s="45"/>
      <c r="X93" s="45"/>
      <c r="Y93" s="45"/>
      <c r="Z93" s="45"/>
      <c r="AA93" s="45"/>
      <c r="AB93" s="45"/>
      <c r="AC93" s="45"/>
      <c r="AD93" s="45"/>
      <c r="AE93" s="45"/>
      <c r="AF93" s="45"/>
      <c r="AG93" s="45"/>
      <c r="AH93" s="45"/>
    </row>
    <row r="94" spans="16:34" x14ac:dyDescent="0.2">
      <c r="P94" s="45"/>
      <c r="Q94" s="45"/>
      <c r="R94" s="45"/>
      <c r="S94" s="45"/>
      <c r="T94" s="45"/>
      <c r="U94" s="45"/>
      <c r="V94" s="45"/>
      <c r="W94" s="45"/>
      <c r="X94" s="45"/>
      <c r="Y94" s="45"/>
      <c r="Z94" s="45"/>
      <c r="AA94" s="45"/>
      <c r="AB94" s="45"/>
      <c r="AC94" s="45"/>
      <c r="AD94" s="45"/>
      <c r="AE94" s="45"/>
      <c r="AF94" s="45"/>
      <c r="AG94" s="45"/>
      <c r="AH94" s="45"/>
    </row>
    <row r="95" spans="16:34" x14ac:dyDescent="0.2">
      <c r="P95" s="45"/>
      <c r="Q95" s="45"/>
      <c r="R95" s="45"/>
      <c r="S95" s="45"/>
      <c r="T95" s="45"/>
      <c r="U95" s="45"/>
      <c r="V95" s="45"/>
      <c r="W95" s="45"/>
      <c r="X95" s="45"/>
      <c r="Y95" s="45"/>
      <c r="Z95" s="45"/>
      <c r="AA95" s="45"/>
      <c r="AB95" s="45"/>
      <c r="AC95" s="45"/>
      <c r="AD95" s="45"/>
      <c r="AE95" s="45"/>
      <c r="AF95" s="45"/>
      <c r="AG95" s="45"/>
      <c r="AH95" s="45"/>
    </row>
    <row r="96" spans="16:34" x14ac:dyDescent="0.2">
      <c r="P96" s="45"/>
      <c r="Q96" s="45"/>
      <c r="R96" s="45"/>
      <c r="S96" s="45"/>
      <c r="T96" s="45"/>
      <c r="U96" s="45"/>
      <c r="V96" s="45"/>
      <c r="W96" s="45"/>
      <c r="X96" s="45"/>
      <c r="Y96" s="45"/>
      <c r="Z96" s="45"/>
      <c r="AA96" s="45"/>
      <c r="AB96" s="45"/>
      <c r="AC96" s="45"/>
      <c r="AD96" s="45"/>
      <c r="AE96" s="45"/>
      <c r="AF96" s="45"/>
      <c r="AG96" s="45"/>
      <c r="AH96" s="45"/>
    </row>
  </sheetData>
  <mergeCells count="12">
    <mergeCell ref="E6:F6"/>
    <mergeCell ref="I6:J6"/>
    <mergeCell ref="M6:N6"/>
    <mergeCell ref="B1:N1"/>
    <mergeCell ref="B3:N3"/>
    <mergeCell ref="B4:N4"/>
    <mergeCell ref="B2:N2"/>
    <mergeCell ref="K5:N5"/>
    <mergeCell ref="B5:B6"/>
    <mergeCell ref="C5:F5"/>
    <mergeCell ref="G5:J5"/>
    <mergeCell ref="C6:D6"/>
  </mergeCells>
  <phoneticPr fontId="2" type="noConversion"/>
  <printOptions horizontalCentered="1" verticalCentered="1"/>
  <pageMargins left="0.78740157480314965" right="0.78740157480314965" top="0.78740157480314965" bottom="0.78740157480314965" header="0.51181102362204722" footer="0.51181102362204722"/>
  <pageSetup paperSize="9" scale="7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JZ100"/>
  <sheetViews>
    <sheetView showGridLines="0" zoomScale="50" zoomScaleNormal="50" workbookViewId="0">
      <selection activeCell="AL96" sqref="AL96"/>
    </sheetView>
  </sheetViews>
  <sheetFormatPr baseColWidth="10" defaultColWidth="11.42578125" defaultRowHeight="14.25" x14ac:dyDescent="0.2"/>
  <cols>
    <col min="1" max="1" width="6" style="83" customWidth="1"/>
    <col min="2" max="2" width="18.5703125" style="115" customWidth="1"/>
    <col min="3" max="3" width="9.7109375" style="83" customWidth="1"/>
    <col min="4" max="4" width="2.28515625" style="83" customWidth="1"/>
    <col min="5" max="5" width="11.28515625" style="83" customWidth="1"/>
    <col min="6" max="6" width="2.5703125" style="83" customWidth="1"/>
    <col min="7" max="7" width="14.28515625" style="83" customWidth="1"/>
    <col min="8" max="8" width="2.5703125" style="83" customWidth="1"/>
    <col min="9" max="9" width="9.7109375" style="83" customWidth="1"/>
    <col min="10" max="10" width="2.5703125" style="83" customWidth="1"/>
    <col min="11" max="11" width="10.7109375" style="83" bestFit="1" customWidth="1"/>
    <col min="12" max="12" width="2.5703125" style="83" customWidth="1"/>
    <col min="13" max="13" width="13.42578125" style="83" bestFit="1" customWidth="1"/>
    <col min="14" max="14" width="2.5703125" style="83" customWidth="1"/>
    <col min="15" max="15" width="9.7109375" style="83" customWidth="1"/>
    <col min="16" max="16" width="2.5703125" style="83" customWidth="1"/>
    <col min="17" max="17" width="12.85546875" style="83" customWidth="1"/>
    <col min="18" max="18" width="2.5703125" style="83" customWidth="1"/>
    <col min="19" max="19" width="18" style="83" customWidth="1"/>
    <col min="20" max="20" width="2.5703125" style="83" customWidth="1"/>
    <col min="21" max="21" width="9.7109375" style="83" customWidth="1"/>
    <col min="22" max="22" width="2.5703125" style="83" customWidth="1"/>
    <col min="23" max="23" width="11.28515625" style="83" customWidth="1"/>
    <col min="24" max="24" width="2.5703125" style="83" customWidth="1"/>
    <col min="25" max="25" width="14" style="83" customWidth="1"/>
    <col min="26" max="26" width="2.5703125" style="83" customWidth="1"/>
    <col min="27" max="27" width="9.7109375" style="83" customWidth="1"/>
    <col min="28" max="28" width="2.5703125" style="83" customWidth="1"/>
    <col min="29" max="29" width="9.7109375" style="83" customWidth="1"/>
    <col min="30" max="30" width="2.5703125" style="83" customWidth="1"/>
    <col min="31" max="31" width="12.28515625" style="83" customWidth="1"/>
    <col min="32" max="32" width="2.5703125" style="83" customWidth="1"/>
    <col min="33" max="33" width="9.7109375" style="83" customWidth="1"/>
    <col min="34" max="34" width="2.5703125" style="83" customWidth="1"/>
    <col min="35" max="35" width="11.28515625" style="83" customWidth="1"/>
    <col min="36" max="36" width="2.5703125" style="83" customWidth="1"/>
    <col min="37" max="37" width="13.5703125" style="83" customWidth="1"/>
    <col min="38" max="38" width="2.5703125" style="83" customWidth="1"/>
    <col min="39" max="39" width="9.7109375" style="83" customWidth="1"/>
    <col min="40" max="40" width="2.5703125" style="83" customWidth="1"/>
    <col min="41" max="41" width="11.7109375" style="83" customWidth="1"/>
    <col min="42" max="42" width="2.5703125" style="83" customWidth="1"/>
    <col min="43" max="43" width="13.28515625" style="83" customWidth="1"/>
    <col min="44" max="44" width="3.7109375" style="83" customWidth="1"/>
    <col min="45" max="45" width="10.28515625" style="83" customWidth="1"/>
    <col min="46" max="46" width="2.7109375" style="83" customWidth="1"/>
    <col min="47" max="47" width="12.42578125" style="83" customWidth="1"/>
    <col min="48" max="48" width="2.7109375" style="83" customWidth="1"/>
    <col min="49" max="49" width="13.7109375" style="83" customWidth="1"/>
    <col min="50" max="50" width="2.7109375" style="83" customWidth="1"/>
    <col min="51" max="51" width="3" style="83" customWidth="1"/>
    <col min="52" max="52" width="9.7109375" style="83" customWidth="1"/>
    <col min="53" max="62" width="13.7109375" style="83" customWidth="1"/>
    <col min="63" max="16384" width="11.42578125" style="83"/>
  </cols>
  <sheetData>
    <row r="1" spans="2:286" s="38" customFormat="1" ht="35.1" customHeight="1" x14ac:dyDescent="0.2">
      <c r="B1" s="773" t="s">
        <v>38</v>
      </c>
      <c r="C1" s="773"/>
      <c r="D1" s="773"/>
      <c r="E1" s="773"/>
      <c r="F1" s="773"/>
      <c r="G1" s="773"/>
      <c r="H1" s="773"/>
      <c r="I1" s="773"/>
      <c r="J1" s="773"/>
      <c r="K1" s="773"/>
      <c r="L1" s="773"/>
      <c r="M1" s="773"/>
      <c r="N1" s="773"/>
      <c r="O1" s="773"/>
      <c r="P1" s="773"/>
      <c r="Q1" s="773"/>
      <c r="R1" s="773"/>
      <c r="S1" s="773"/>
      <c r="T1" s="773"/>
      <c r="U1" s="773"/>
      <c r="V1" s="773"/>
      <c r="W1" s="773"/>
      <c r="X1" s="773"/>
      <c r="Y1" s="773"/>
      <c r="Z1" s="773"/>
      <c r="AA1" s="773"/>
      <c r="AB1" s="773"/>
      <c r="AC1" s="773"/>
      <c r="AD1" s="773"/>
      <c r="AE1" s="773"/>
      <c r="AF1" s="773"/>
      <c r="AG1" s="773"/>
      <c r="AH1" s="773"/>
      <c r="AI1" s="773"/>
      <c r="AJ1" s="773"/>
      <c r="AK1" s="773"/>
      <c r="AL1" s="773"/>
      <c r="AM1" s="773"/>
      <c r="AN1" s="773"/>
      <c r="AO1" s="773"/>
      <c r="AP1" s="773"/>
      <c r="AQ1" s="773"/>
      <c r="AR1" s="773"/>
      <c r="AS1" s="773"/>
      <c r="AT1" s="773"/>
      <c r="AU1" s="773"/>
      <c r="AV1" s="773"/>
      <c r="AW1" s="773"/>
      <c r="AX1" s="773"/>
      <c r="AY1" s="97"/>
      <c r="AZ1" s="97"/>
      <c r="BA1" s="97"/>
      <c r="BB1" s="97"/>
      <c r="BC1" s="97"/>
      <c r="BD1" s="97"/>
      <c r="BE1" s="97"/>
      <c r="BF1" s="97"/>
      <c r="BG1" s="97"/>
      <c r="BH1" s="97"/>
      <c r="BI1" s="97"/>
      <c r="BJ1" s="97"/>
    </row>
    <row r="2" spans="2:286" s="100" customFormat="1" ht="35.1" customHeight="1" x14ac:dyDescent="0.2">
      <c r="B2" s="98" t="s">
        <v>145</v>
      </c>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9"/>
    </row>
    <row r="3" spans="2:286" s="100" customFormat="1" ht="35.1" customHeight="1" x14ac:dyDescent="0.2">
      <c r="B3" s="774" t="s">
        <v>105</v>
      </c>
      <c r="C3" s="774"/>
      <c r="D3" s="774"/>
      <c r="E3" s="774"/>
      <c r="F3" s="774"/>
      <c r="G3" s="774"/>
      <c r="H3" s="774"/>
      <c r="I3" s="774"/>
      <c r="J3" s="774"/>
      <c r="K3" s="774"/>
      <c r="L3" s="774"/>
      <c r="M3" s="774"/>
      <c r="N3" s="774"/>
      <c r="O3" s="774"/>
      <c r="P3" s="774"/>
      <c r="Q3" s="774"/>
      <c r="R3" s="774"/>
      <c r="S3" s="774"/>
      <c r="T3" s="774"/>
      <c r="U3" s="774"/>
      <c r="V3" s="774"/>
      <c r="W3" s="774"/>
      <c r="X3" s="774"/>
      <c r="Y3" s="774"/>
      <c r="Z3" s="774"/>
      <c r="AA3" s="774"/>
      <c r="AB3" s="774"/>
      <c r="AC3" s="774"/>
      <c r="AD3" s="774"/>
      <c r="AE3" s="774"/>
      <c r="AF3" s="774"/>
      <c r="AG3" s="774"/>
      <c r="AH3" s="774"/>
      <c r="AI3" s="774"/>
      <c r="AJ3" s="774"/>
      <c r="AK3" s="774"/>
      <c r="AL3" s="774"/>
      <c r="AM3" s="774"/>
      <c r="AN3" s="774"/>
      <c r="AO3" s="774"/>
      <c r="AP3" s="774"/>
      <c r="AQ3" s="774"/>
      <c r="AR3" s="774"/>
      <c r="AS3" s="774"/>
      <c r="AT3" s="774"/>
      <c r="AU3" s="774"/>
      <c r="AV3" s="774"/>
      <c r="AW3" s="774"/>
      <c r="AX3" s="774"/>
      <c r="AY3" s="101"/>
      <c r="AZ3" s="101"/>
      <c r="BA3" s="101"/>
      <c r="BB3" s="101"/>
      <c r="BC3" s="101"/>
      <c r="BD3" s="101"/>
      <c r="BE3" s="101"/>
      <c r="BF3" s="101"/>
      <c r="BG3" s="101"/>
      <c r="BH3" s="101"/>
      <c r="BI3" s="101"/>
      <c r="BJ3" s="101"/>
    </row>
    <row r="4" spans="2:286" s="100" customFormat="1" ht="35.1" customHeight="1" x14ac:dyDescent="0.2">
      <c r="B4" s="775" t="s">
        <v>324</v>
      </c>
      <c r="C4" s="775"/>
      <c r="D4" s="775"/>
      <c r="E4" s="775"/>
      <c r="F4" s="775"/>
      <c r="G4" s="775"/>
      <c r="H4" s="775"/>
      <c r="I4" s="775"/>
      <c r="J4" s="775"/>
      <c r="K4" s="775"/>
      <c r="L4" s="775"/>
      <c r="M4" s="775"/>
      <c r="N4" s="775"/>
      <c r="O4" s="775"/>
      <c r="P4" s="775"/>
      <c r="Q4" s="775"/>
      <c r="R4" s="775"/>
      <c r="S4" s="775"/>
      <c r="T4" s="775"/>
      <c r="U4" s="775"/>
      <c r="V4" s="775"/>
      <c r="W4" s="775"/>
      <c r="X4" s="775"/>
      <c r="Y4" s="775"/>
      <c r="Z4" s="775"/>
      <c r="AA4" s="775"/>
      <c r="AB4" s="775"/>
      <c r="AC4" s="775"/>
      <c r="AD4" s="775"/>
      <c r="AE4" s="775"/>
      <c r="AF4" s="775"/>
      <c r="AG4" s="775"/>
      <c r="AH4" s="775"/>
      <c r="AI4" s="775"/>
      <c r="AJ4" s="775"/>
      <c r="AK4" s="775"/>
      <c r="AL4" s="775"/>
      <c r="AM4" s="775"/>
      <c r="AN4" s="775"/>
      <c r="AO4" s="775"/>
      <c r="AP4" s="775"/>
      <c r="AQ4" s="775"/>
      <c r="AR4" s="775"/>
      <c r="AS4" s="775"/>
      <c r="AT4" s="775"/>
      <c r="AU4" s="775"/>
      <c r="AV4" s="775"/>
      <c r="AW4" s="775"/>
      <c r="AX4" s="775"/>
      <c r="AY4" s="98"/>
      <c r="AZ4" s="98"/>
      <c r="BA4" s="98"/>
      <c r="BB4" s="98"/>
      <c r="BC4" s="98"/>
      <c r="BD4" s="98"/>
      <c r="BE4" s="98"/>
      <c r="BF4" s="98"/>
      <c r="BG4" s="98"/>
      <c r="BH4" s="98"/>
      <c r="BI4" s="98"/>
      <c r="BJ4" s="98"/>
      <c r="BK4" s="98"/>
      <c r="BL4" s="98"/>
      <c r="BM4" s="98"/>
      <c r="BN4" s="98"/>
      <c r="BO4" s="98"/>
      <c r="BP4" s="98"/>
      <c r="BQ4" s="98"/>
      <c r="BR4" s="98"/>
      <c r="BS4" s="98"/>
      <c r="BT4" s="98"/>
      <c r="BU4" s="98"/>
      <c r="BV4" s="98"/>
      <c r="BW4" s="98"/>
      <c r="BX4" s="98"/>
      <c r="BY4" s="98"/>
      <c r="BZ4" s="98"/>
      <c r="CA4" s="98"/>
      <c r="CB4" s="98"/>
      <c r="CC4" s="98"/>
      <c r="CD4" s="98"/>
      <c r="CE4" s="775"/>
      <c r="CF4" s="775"/>
      <c r="CG4" s="775"/>
      <c r="CH4" s="775"/>
      <c r="CI4" s="775"/>
      <c r="CJ4" s="775"/>
      <c r="CK4" s="775"/>
      <c r="CL4" s="775"/>
      <c r="CM4" s="775"/>
      <c r="CN4" s="775"/>
      <c r="CO4" s="775"/>
      <c r="CP4" s="775"/>
      <c r="CQ4" s="775"/>
      <c r="CR4" s="775"/>
      <c r="CS4" s="775"/>
      <c r="CT4" s="775"/>
      <c r="CU4" s="775"/>
      <c r="CV4" s="775"/>
      <c r="CW4" s="775"/>
      <c r="CX4" s="775"/>
      <c r="CY4" s="775"/>
      <c r="CZ4" s="775"/>
      <c r="DA4" s="775"/>
      <c r="DB4" s="775"/>
      <c r="DC4" s="775"/>
      <c r="DD4" s="775"/>
      <c r="DE4" s="775"/>
      <c r="DF4" s="775"/>
      <c r="DG4" s="775"/>
      <c r="DH4" s="775"/>
      <c r="DI4" s="775"/>
      <c r="DJ4" s="775"/>
      <c r="DK4" s="775"/>
      <c r="DL4" s="775"/>
      <c r="DM4" s="775"/>
      <c r="DN4" s="775"/>
      <c r="DO4" s="775"/>
      <c r="DP4" s="775"/>
      <c r="DQ4" s="775"/>
      <c r="DR4" s="775"/>
      <c r="DS4" s="775"/>
      <c r="DT4" s="775"/>
      <c r="DU4" s="775"/>
      <c r="DV4" s="775"/>
      <c r="DW4" s="775"/>
      <c r="DX4" s="775"/>
      <c r="DY4" s="775"/>
      <c r="DZ4" s="775"/>
      <c r="EA4" s="775"/>
      <c r="EB4" s="775"/>
      <c r="EC4" s="775"/>
      <c r="ED4" s="775"/>
      <c r="EE4" s="775"/>
      <c r="EF4" s="775"/>
      <c r="EG4" s="775"/>
      <c r="EH4" s="775"/>
      <c r="EI4" s="775"/>
      <c r="EJ4" s="775"/>
      <c r="EK4" s="775"/>
      <c r="EL4" s="775"/>
      <c r="EM4" s="775"/>
      <c r="EN4" s="775"/>
      <c r="EO4" s="775"/>
      <c r="EP4" s="775"/>
      <c r="EQ4" s="775"/>
      <c r="ER4" s="775"/>
      <c r="ES4" s="775"/>
      <c r="ET4" s="775"/>
      <c r="EU4" s="775"/>
      <c r="EV4" s="775"/>
      <c r="EW4" s="775"/>
      <c r="EX4" s="775"/>
      <c r="EY4" s="775"/>
      <c r="EZ4" s="775"/>
      <c r="FA4" s="775"/>
      <c r="FB4" s="775"/>
      <c r="FC4" s="775"/>
      <c r="FD4" s="775"/>
      <c r="FE4" s="775"/>
      <c r="FF4" s="775"/>
      <c r="FG4" s="775"/>
      <c r="FH4" s="775"/>
      <c r="FI4" s="775"/>
      <c r="FJ4" s="775"/>
      <c r="FK4" s="775"/>
      <c r="FL4" s="775"/>
      <c r="FM4" s="775"/>
      <c r="FN4" s="775"/>
      <c r="FO4" s="775"/>
      <c r="FP4" s="775"/>
      <c r="FQ4" s="775"/>
      <c r="FR4" s="775"/>
      <c r="FS4" s="775"/>
      <c r="FT4" s="775"/>
      <c r="FU4" s="775"/>
      <c r="FV4" s="775"/>
      <c r="FW4" s="775"/>
      <c r="FX4" s="775"/>
      <c r="FY4" s="775"/>
      <c r="FZ4" s="775"/>
      <c r="GA4" s="775"/>
      <c r="GB4" s="775"/>
      <c r="GC4" s="775"/>
      <c r="GD4" s="775"/>
      <c r="GE4" s="775"/>
      <c r="GF4" s="775"/>
      <c r="GG4" s="775"/>
      <c r="GH4" s="775"/>
      <c r="GI4" s="775"/>
      <c r="GJ4" s="775"/>
      <c r="GK4" s="775"/>
      <c r="GL4" s="775"/>
      <c r="GM4" s="775"/>
      <c r="GN4" s="775"/>
      <c r="GO4" s="775"/>
      <c r="GP4" s="775"/>
      <c r="GQ4" s="775"/>
      <c r="GR4" s="775"/>
      <c r="GS4" s="775"/>
      <c r="GT4" s="775"/>
      <c r="GU4" s="775"/>
      <c r="GV4" s="775"/>
      <c r="GW4" s="775"/>
      <c r="GX4" s="775"/>
      <c r="GY4" s="775"/>
      <c r="GZ4" s="775"/>
      <c r="HA4" s="775"/>
      <c r="HB4" s="775"/>
      <c r="HC4" s="775"/>
      <c r="HD4" s="775"/>
      <c r="HE4" s="775"/>
      <c r="HF4" s="775"/>
      <c r="HG4" s="775"/>
      <c r="HH4" s="775"/>
      <c r="HI4" s="775"/>
      <c r="HJ4" s="775"/>
      <c r="HK4" s="775"/>
      <c r="HL4" s="775"/>
      <c r="HM4" s="775"/>
      <c r="HN4" s="775"/>
      <c r="HO4" s="775"/>
      <c r="HP4" s="775"/>
      <c r="HQ4" s="775"/>
      <c r="HR4" s="775"/>
      <c r="HS4" s="775"/>
      <c r="HT4" s="775"/>
      <c r="HU4" s="775"/>
      <c r="HV4" s="775"/>
      <c r="HW4" s="775"/>
      <c r="HX4" s="775"/>
      <c r="HY4" s="775"/>
      <c r="HZ4" s="775"/>
      <c r="IA4" s="775"/>
      <c r="IB4" s="775"/>
      <c r="IC4" s="775"/>
      <c r="ID4" s="775"/>
      <c r="IE4" s="775"/>
      <c r="IF4" s="775"/>
      <c r="IG4" s="775"/>
      <c r="IH4" s="775"/>
      <c r="II4" s="775"/>
      <c r="IJ4" s="775"/>
      <c r="IK4" s="775"/>
      <c r="IL4" s="775"/>
      <c r="IM4" s="775"/>
      <c r="IN4" s="775"/>
      <c r="IO4" s="775"/>
      <c r="IP4" s="775"/>
      <c r="IQ4" s="775"/>
      <c r="IR4" s="775"/>
      <c r="IS4" s="775"/>
      <c r="IT4" s="775"/>
      <c r="IU4" s="775"/>
      <c r="IV4" s="775"/>
      <c r="IW4" s="775"/>
      <c r="IX4" s="775"/>
      <c r="IY4" s="775"/>
      <c r="IZ4" s="775"/>
      <c r="JA4" s="775"/>
      <c r="JB4" s="775"/>
      <c r="JC4" s="775"/>
      <c r="JD4" s="775"/>
      <c r="JE4" s="775"/>
      <c r="JF4" s="775"/>
      <c r="JG4" s="775"/>
      <c r="JH4" s="775"/>
      <c r="JI4" s="775"/>
      <c r="JJ4" s="775"/>
      <c r="JK4" s="775"/>
      <c r="JL4" s="775"/>
      <c r="JM4" s="775"/>
      <c r="JN4" s="775"/>
      <c r="JO4" s="775"/>
      <c r="JP4" s="775"/>
      <c r="JQ4" s="775"/>
      <c r="JR4" s="775"/>
      <c r="JS4" s="775"/>
      <c r="JT4" s="775"/>
      <c r="JU4" s="775"/>
      <c r="JV4" s="775"/>
      <c r="JW4" s="775"/>
      <c r="JX4" s="775"/>
      <c r="JY4" s="775"/>
      <c r="JZ4" s="775"/>
    </row>
    <row r="5" spans="2:286" s="100" customFormat="1" ht="30" customHeight="1" x14ac:dyDescent="0.2">
      <c r="B5" s="771" t="s">
        <v>24</v>
      </c>
      <c r="C5" s="778" t="s">
        <v>226</v>
      </c>
      <c r="D5" s="778"/>
      <c r="E5" s="778"/>
      <c r="F5" s="778"/>
      <c r="G5" s="778"/>
      <c r="H5" s="778"/>
      <c r="I5" s="778"/>
      <c r="J5" s="778"/>
      <c r="K5" s="778"/>
      <c r="L5" s="778"/>
      <c r="M5" s="778"/>
      <c r="N5" s="778"/>
      <c r="O5" s="778"/>
      <c r="P5" s="778"/>
      <c r="Q5" s="778"/>
      <c r="R5" s="778"/>
      <c r="S5" s="778"/>
      <c r="T5" s="778"/>
      <c r="U5" s="778"/>
      <c r="V5" s="778"/>
      <c r="W5" s="778"/>
      <c r="X5" s="778"/>
      <c r="Y5" s="778"/>
      <c r="Z5" s="778"/>
      <c r="AA5" s="778"/>
      <c r="AB5" s="778"/>
      <c r="AC5" s="778"/>
      <c r="AD5" s="778"/>
      <c r="AE5" s="778"/>
      <c r="AF5" s="778"/>
      <c r="AG5" s="778"/>
      <c r="AH5" s="778"/>
      <c r="AI5" s="778"/>
      <c r="AJ5" s="778"/>
      <c r="AK5" s="778"/>
      <c r="AL5" s="778"/>
      <c r="AM5" s="778"/>
      <c r="AN5" s="778"/>
      <c r="AO5" s="778"/>
      <c r="AP5" s="778"/>
      <c r="AQ5" s="778"/>
      <c r="AR5" s="778"/>
      <c r="AS5" s="778"/>
      <c r="AT5" s="778"/>
      <c r="AU5" s="778"/>
      <c r="AV5" s="778"/>
      <c r="AW5" s="778"/>
      <c r="AX5" s="778"/>
      <c r="AY5" s="98"/>
      <c r="AZ5" s="98"/>
      <c r="BA5" s="98"/>
      <c r="BB5" s="98"/>
      <c r="BC5" s="98"/>
      <c r="BD5" s="98"/>
      <c r="BE5" s="98"/>
      <c r="BF5" s="98"/>
      <c r="BG5" s="98"/>
      <c r="BH5" s="98"/>
      <c r="BI5" s="98"/>
      <c r="BJ5" s="98"/>
      <c r="BK5" s="98"/>
      <c r="BL5" s="98"/>
      <c r="BM5" s="98"/>
      <c r="BN5" s="98"/>
      <c r="BO5" s="98"/>
      <c r="BP5" s="98"/>
      <c r="BQ5" s="98"/>
      <c r="BR5" s="98"/>
      <c r="BS5" s="98"/>
      <c r="BT5" s="98"/>
      <c r="BU5" s="98"/>
      <c r="BV5" s="98"/>
      <c r="BW5" s="98"/>
      <c r="BX5" s="98"/>
      <c r="BY5" s="98"/>
      <c r="BZ5" s="98"/>
      <c r="CA5" s="98"/>
      <c r="CB5" s="98"/>
      <c r="CC5" s="98"/>
      <c r="CD5" s="98"/>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02"/>
      <c r="GU5" s="102"/>
      <c r="GV5" s="102"/>
      <c r="GW5" s="102"/>
      <c r="GX5" s="102"/>
      <c r="GY5" s="102"/>
      <c r="GZ5" s="102"/>
      <c r="HA5" s="102"/>
      <c r="HB5" s="102"/>
      <c r="HC5" s="102"/>
      <c r="HD5" s="102"/>
      <c r="HE5" s="102"/>
      <c r="HF5" s="102"/>
      <c r="HG5" s="102"/>
      <c r="HH5" s="102"/>
      <c r="HI5" s="102"/>
      <c r="HJ5" s="102"/>
      <c r="HK5" s="102"/>
      <c r="HL5" s="102"/>
      <c r="HM5" s="102"/>
      <c r="HN5" s="102"/>
      <c r="HO5" s="102"/>
      <c r="HP5" s="102"/>
      <c r="HQ5" s="102"/>
      <c r="HR5" s="102"/>
      <c r="HS5" s="102"/>
      <c r="HT5" s="102"/>
      <c r="HU5" s="102"/>
      <c r="HV5" s="102"/>
      <c r="HW5" s="102"/>
      <c r="HX5" s="102"/>
      <c r="HY5" s="102"/>
      <c r="HZ5" s="102"/>
      <c r="IA5" s="102"/>
      <c r="IB5" s="102"/>
      <c r="IC5" s="102"/>
      <c r="ID5" s="102"/>
      <c r="IE5" s="102"/>
      <c r="IF5" s="102"/>
      <c r="IG5" s="102"/>
      <c r="IH5" s="102"/>
      <c r="II5" s="102"/>
      <c r="IJ5" s="102"/>
      <c r="IK5" s="102"/>
      <c r="IL5" s="102"/>
      <c r="IM5" s="102"/>
      <c r="IN5" s="102"/>
      <c r="IO5" s="102"/>
      <c r="IP5" s="102"/>
      <c r="IQ5" s="102"/>
      <c r="IR5" s="102"/>
      <c r="IS5" s="102"/>
      <c r="IT5" s="102"/>
      <c r="IU5" s="102"/>
      <c r="IV5" s="102"/>
      <c r="IW5" s="102"/>
      <c r="IX5" s="102"/>
      <c r="IY5" s="102"/>
      <c r="IZ5" s="102"/>
      <c r="JA5" s="102"/>
      <c r="JB5" s="102"/>
      <c r="JC5" s="102"/>
      <c r="JD5" s="102"/>
      <c r="JE5" s="102"/>
      <c r="JF5" s="102"/>
      <c r="JG5" s="102"/>
      <c r="JH5" s="102"/>
      <c r="JI5" s="102"/>
      <c r="JJ5" s="102"/>
      <c r="JK5" s="102"/>
      <c r="JL5" s="102"/>
      <c r="JM5" s="102"/>
      <c r="JN5" s="102"/>
      <c r="JO5" s="102"/>
      <c r="JP5" s="102"/>
      <c r="JQ5" s="102"/>
      <c r="JR5" s="102"/>
      <c r="JS5" s="102"/>
      <c r="JT5" s="102"/>
      <c r="JU5" s="102"/>
      <c r="JV5" s="102"/>
      <c r="JW5" s="102"/>
      <c r="JX5" s="102"/>
      <c r="JY5" s="102"/>
      <c r="JZ5" s="102"/>
    </row>
    <row r="6" spans="2:286" s="104" customFormat="1" ht="30" customHeight="1" x14ac:dyDescent="0.25">
      <c r="B6" s="771"/>
      <c r="C6" s="764">
        <v>1990</v>
      </c>
      <c r="D6" s="764"/>
      <c r="E6" s="764"/>
      <c r="F6" s="764"/>
      <c r="G6" s="764"/>
      <c r="H6" s="764"/>
      <c r="I6" s="764">
        <v>1991</v>
      </c>
      <c r="J6" s="764"/>
      <c r="K6" s="764"/>
      <c r="L6" s="764"/>
      <c r="M6" s="764"/>
      <c r="N6" s="764"/>
      <c r="O6" s="764">
        <v>1992</v>
      </c>
      <c r="P6" s="764"/>
      <c r="Q6" s="764"/>
      <c r="R6" s="764"/>
      <c r="S6" s="764"/>
      <c r="T6" s="764"/>
      <c r="U6" s="776">
        <v>1993</v>
      </c>
      <c r="V6" s="776"/>
      <c r="W6" s="776"/>
      <c r="X6" s="776"/>
      <c r="Y6" s="776"/>
      <c r="Z6" s="776"/>
      <c r="AA6" s="776">
        <v>1994</v>
      </c>
      <c r="AB6" s="776"/>
      <c r="AC6" s="776"/>
      <c r="AD6" s="776"/>
      <c r="AE6" s="776"/>
      <c r="AF6" s="776"/>
      <c r="AG6" s="776">
        <v>1995</v>
      </c>
      <c r="AH6" s="776"/>
      <c r="AI6" s="776"/>
      <c r="AJ6" s="776"/>
      <c r="AK6" s="776"/>
      <c r="AL6" s="776"/>
      <c r="AM6" s="776">
        <v>1996</v>
      </c>
      <c r="AN6" s="776"/>
      <c r="AO6" s="776"/>
      <c r="AP6" s="776"/>
      <c r="AQ6" s="776"/>
      <c r="AR6" s="776"/>
      <c r="AS6" s="776">
        <v>1997</v>
      </c>
      <c r="AT6" s="776"/>
      <c r="AU6" s="776"/>
      <c r="AV6" s="776"/>
      <c r="AW6" s="776"/>
      <c r="AX6" s="776"/>
      <c r="AY6" s="103"/>
      <c r="AZ6" s="103"/>
      <c r="BA6" s="103"/>
      <c r="BB6" s="103"/>
      <c r="BC6" s="103"/>
      <c r="BD6" s="103"/>
      <c r="BE6" s="103"/>
      <c r="BF6" s="103"/>
      <c r="BG6" s="103"/>
      <c r="BH6" s="103"/>
      <c r="BI6" s="103"/>
      <c r="BJ6" s="103"/>
    </row>
    <row r="7" spans="2:286" s="104" customFormat="1" ht="30" customHeight="1" x14ac:dyDescent="0.2">
      <c r="B7" s="771"/>
      <c r="C7" s="766" t="s">
        <v>176</v>
      </c>
      <c r="D7" s="767"/>
      <c r="E7" s="768" t="s">
        <v>210</v>
      </c>
      <c r="F7" s="767"/>
      <c r="G7" s="768" t="s">
        <v>211</v>
      </c>
      <c r="H7" s="766"/>
      <c r="I7" s="766" t="s">
        <v>176</v>
      </c>
      <c r="J7" s="767"/>
      <c r="K7" s="768" t="s">
        <v>210</v>
      </c>
      <c r="L7" s="767"/>
      <c r="M7" s="768" t="s">
        <v>211</v>
      </c>
      <c r="N7" s="766"/>
      <c r="O7" s="766" t="s">
        <v>176</v>
      </c>
      <c r="P7" s="767"/>
      <c r="Q7" s="768" t="s">
        <v>210</v>
      </c>
      <c r="R7" s="767"/>
      <c r="S7" s="768" t="s">
        <v>211</v>
      </c>
      <c r="T7" s="766"/>
      <c r="U7" s="766" t="s">
        <v>176</v>
      </c>
      <c r="V7" s="767"/>
      <c r="W7" s="768" t="s">
        <v>210</v>
      </c>
      <c r="X7" s="767"/>
      <c r="Y7" s="768" t="s">
        <v>211</v>
      </c>
      <c r="Z7" s="766"/>
      <c r="AA7" s="766" t="s">
        <v>176</v>
      </c>
      <c r="AB7" s="767"/>
      <c r="AC7" s="768" t="s">
        <v>210</v>
      </c>
      <c r="AD7" s="767"/>
      <c r="AE7" s="768" t="s">
        <v>211</v>
      </c>
      <c r="AF7" s="766"/>
      <c r="AG7" s="766" t="s">
        <v>176</v>
      </c>
      <c r="AH7" s="767"/>
      <c r="AI7" s="768" t="s">
        <v>210</v>
      </c>
      <c r="AJ7" s="767"/>
      <c r="AK7" s="768" t="s">
        <v>211</v>
      </c>
      <c r="AL7" s="766"/>
      <c r="AM7" s="766" t="s">
        <v>176</v>
      </c>
      <c r="AN7" s="767"/>
      <c r="AO7" s="768" t="s">
        <v>210</v>
      </c>
      <c r="AP7" s="767"/>
      <c r="AQ7" s="768" t="s">
        <v>211</v>
      </c>
      <c r="AR7" s="766"/>
      <c r="AS7" s="766" t="s">
        <v>176</v>
      </c>
      <c r="AT7" s="767"/>
      <c r="AU7" s="768" t="s">
        <v>210</v>
      </c>
      <c r="AV7" s="767"/>
      <c r="AW7" s="768" t="s">
        <v>211</v>
      </c>
      <c r="AX7" s="766"/>
      <c r="AY7" s="105"/>
      <c r="AZ7" s="105"/>
      <c r="BA7" s="105"/>
      <c r="BB7" s="105"/>
      <c r="BC7" s="105"/>
      <c r="BD7" s="105"/>
      <c r="BE7" s="105"/>
      <c r="BF7" s="105"/>
      <c r="BG7" s="105"/>
      <c r="BH7" s="105"/>
      <c r="BI7" s="105"/>
      <c r="BJ7" s="105"/>
    </row>
    <row r="8" spans="2:286" s="94" customFormat="1" ht="30" customHeight="1" x14ac:dyDescent="0.2">
      <c r="B8" s="424" t="s">
        <v>25</v>
      </c>
      <c r="C8" s="94">
        <v>48</v>
      </c>
      <c r="E8" s="95">
        <v>19397</v>
      </c>
      <c r="G8" s="95">
        <v>1181314</v>
      </c>
      <c r="I8" s="94">
        <v>43</v>
      </c>
      <c r="K8" s="94">
        <v>31275</v>
      </c>
      <c r="M8" s="94">
        <v>747574</v>
      </c>
      <c r="O8" s="94">
        <v>18</v>
      </c>
      <c r="Q8" s="94">
        <v>4321</v>
      </c>
      <c r="S8" s="94">
        <v>162404</v>
      </c>
      <c r="U8" s="95">
        <v>8</v>
      </c>
      <c r="V8" s="95"/>
      <c r="W8" s="95">
        <v>1827</v>
      </c>
      <c r="X8" s="95"/>
      <c r="Y8" s="95">
        <v>51933</v>
      </c>
      <c r="Z8" s="95"/>
      <c r="AA8" s="94">
        <v>3</v>
      </c>
      <c r="AC8" s="94">
        <v>230</v>
      </c>
      <c r="AE8" s="94">
        <v>12880</v>
      </c>
      <c r="AG8" s="95">
        <v>19</v>
      </c>
      <c r="AH8" s="95"/>
      <c r="AI8" s="95">
        <v>6473</v>
      </c>
      <c r="AJ8" s="95"/>
      <c r="AK8" s="95">
        <v>160280</v>
      </c>
      <c r="AL8" s="95"/>
      <c r="AM8" s="95">
        <v>10</v>
      </c>
      <c r="AN8" s="95"/>
      <c r="AO8" s="95">
        <v>4553</v>
      </c>
      <c r="AP8" s="95"/>
      <c r="AQ8" s="94">
        <v>38576</v>
      </c>
      <c r="AR8" s="95"/>
      <c r="AS8" s="95">
        <v>5</v>
      </c>
      <c r="AU8" s="95">
        <v>474</v>
      </c>
      <c r="AV8" s="95"/>
      <c r="AW8" s="94">
        <v>5782</v>
      </c>
      <c r="AX8" s="95"/>
      <c r="AY8" s="106"/>
      <c r="AZ8" s="106"/>
      <c r="BA8" s="107"/>
      <c r="BB8" s="106"/>
      <c r="BC8" s="106"/>
      <c r="BD8" s="107"/>
      <c r="BE8" s="106"/>
      <c r="BF8" s="107"/>
      <c r="BG8" s="106"/>
      <c r="BH8" s="106"/>
      <c r="BI8" s="106"/>
      <c r="BJ8" s="106"/>
    </row>
    <row r="9" spans="2:286" s="94" customFormat="1" ht="30" customHeight="1" x14ac:dyDescent="0.2">
      <c r="B9" s="424" t="s">
        <v>26</v>
      </c>
      <c r="C9" s="94">
        <v>62</v>
      </c>
      <c r="E9" s="95">
        <v>25413</v>
      </c>
      <c r="G9" s="95">
        <v>1810189</v>
      </c>
      <c r="I9" s="94">
        <v>45</v>
      </c>
      <c r="K9" s="94">
        <v>15049</v>
      </c>
      <c r="M9" s="94">
        <v>1307032</v>
      </c>
      <c r="O9" s="94">
        <v>22</v>
      </c>
      <c r="Q9" s="94">
        <v>2777</v>
      </c>
      <c r="S9" s="95">
        <v>182210</v>
      </c>
      <c r="U9" s="95">
        <v>11</v>
      </c>
      <c r="V9" s="95"/>
      <c r="W9" s="95">
        <v>5997</v>
      </c>
      <c r="X9" s="95"/>
      <c r="Y9" s="95">
        <v>36356</v>
      </c>
      <c r="Z9" s="95"/>
      <c r="AA9" s="94">
        <v>4</v>
      </c>
      <c r="AC9" s="94">
        <v>1475</v>
      </c>
      <c r="AE9" s="95">
        <v>46736</v>
      </c>
      <c r="AG9" s="95">
        <v>5</v>
      </c>
      <c r="AH9" s="95"/>
      <c r="AI9" s="95">
        <v>1247</v>
      </c>
      <c r="AJ9" s="95"/>
      <c r="AK9" s="95">
        <v>40286</v>
      </c>
      <c r="AL9" s="95"/>
      <c r="AM9" s="94">
        <v>11</v>
      </c>
      <c r="AO9" s="94">
        <v>2228</v>
      </c>
      <c r="AQ9" s="94">
        <v>118872</v>
      </c>
      <c r="AS9" s="94">
        <v>9</v>
      </c>
      <c r="AU9" s="94">
        <v>1958</v>
      </c>
      <c r="AV9" s="95"/>
      <c r="AW9" s="94">
        <v>21772</v>
      </c>
      <c r="AX9" s="95"/>
      <c r="AY9" s="106"/>
      <c r="AZ9" s="106"/>
      <c r="BA9" s="107"/>
      <c r="BB9" s="106"/>
      <c r="BC9" s="107"/>
      <c r="BD9" s="107"/>
      <c r="BE9" s="107"/>
      <c r="BF9" s="107"/>
      <c r="BG9" s="106"/>
      <c r="BH9" s="106"/>
      <c r="BI9" s="106"/>
      <c r="BJ9" s="106"/>
    </row>
    <row r="10" spans="2:286" s="94" customFormat="1" ht="30" customHeight="1" x14ac:dyDescent="0.2">
      <c r="B10" s="424" t="s">
        <v>27</v>
      </c>
      <c r="C10" s="94">
        <v>83</v>
      </c>
      <c r="E10" s="94">
        <v>27275</v>
      </c>
      <c r="G10" s="94">
        <v>1711089</v>
      </c>
      <c r="I10" s="94">
        <v>21</v>
      </c>
      <c r="K10" s="94">
        <v>17107</v>
      </c>
      <c r="M10" s="94">
        <v>1706414</v>
      </c>
      <c r="O10" s="94">
        <v>33</v>
      </c>
      <c r="Q10" s="94">
        <v>11366</v>
      </c>
      <c r="S10" s="94">
        <v>215486</v>
      </c>
      <c r="U10" s="94">
        <v>9</v>
      </c>
      <c r="W10" s="94">
        <v>1523</v>
      </c>
      <c r="Y10" s="94">
        <v>137646</v>
      </c>
      <c r="AA10" s="94">
        <v>13</v>
      </c>
      <c r="AC10" s="94">
        <v>3747</v>
      </c>
      <c r="AE10" s="94">
        <v>60131</v>
      </c>
      <c r="AG10" s="94">
        <v>16</v>
      </c>
      <c r="AI10" s="94">
        <v>3871</v>
      </c>
      <c r="AK10" s="94">
        <v>277624</v>
      </c>
      <c r="AM10" s="94">
        <v>6</v>
      </c>
      <c r="AO10" s="94">
        <v>1214</v>
      </c>
      <c r="AQ10" s="94">
        <v>75280</v>
      </c>
      <c r="AS10" s="94">
        <v>7</v>
      </c>
      <c r="AU10" s="94">
        <v>962</v>
      </c>
      <c r="AW10" s="94">
        <v>5878</v>
      </c>
      <c r="AY10" s="106"/>
      <c r="AZ10" s="106"/>
      <c r="BA10" s="106"/>
      <c r="BB10" s="106"/>
      <c r="BC10" s="106"/>
      <c r="BD10" s="106"/>
      <c r="BE10" s="106"/>
      <c r="BF10" s="106"/>
      <c r="BG10" s="106"/>
      <c r="BH10" s="106"/>
      <c r="BI10" s="106"/>
      <c r="BJ10" s="106"/>
    </row>
    <row r="11" spans="2:286" s="94" customFormat="1" ht="30" customHeight="1" x14ac:dyDescent="0.2">
      <c r="B11" s="424" t="s">
        <v>28</v>
      </c>
      <c r="C11" s="94">
        <v>52</v>
      </c>
      <c r="E11" s="94">
        <v>9959</v>
      </c>
      <c r="G11" s="94">
        <v>1927636</v>
      </c>
      <c r="I11" s="94">
        <v>21</v>
      </c>
      <c r="K11" s="94">
        <v>12673</v>
      </c>
      <c r="M11" s="94">
        <v>1922764</v>
      </c>
      <c r="O11" s="94">
        <v>13</v>
      </c>
      <c r="Q11" s="94">
        <v>6621</v>
      </c>
      <c r="S11" s="94">
        <v>102992</v>
      </c>
      <c r="U11" s="94">
        <v>17</v>
      </c>
      <c r="W11" s="94">
        <v>6896</v>
      </c>
      <c r="Y11" s="94">
        <v>397972</v>
      </c>
      <c r="AA11" s="94">
        <v>14</v>
      </c>
      <c r="AC11" s="94">
        <v>4536</v>
      </c>
      <c r="AE11" s="94">
        <v>83944</v>
      </c>
      <c r="AG11" s="94">
        <v>4</v>
      </c>
      <c r="AI11" s="94">
        <v>341</v>
      </c>
      <c r="AK11" s="94">
        <v>122680</v>
      </c>
      <c r="AM11" s="94">
        <v>5</v>
      </c>
      <c r="AO11" s="94">
        <v>971</v>
      </c>
      <c r="AQ11" s="94">
        <v>80256</v>
      </c>
      <c r="AS11" s="94">
        <v>10</v>
      </c>
      <c r="AU11" s="94">
        <v>1038</v>
      </c>
      <c r="AW11" s="94">
        <v>23184</v>
      </c>
      <c r="AY11" s="106"/>
      <c r="AZ11" s="106"/>
      <c r="BA11" s="106"/>
      <c r="BB11" s="106"/>
      <c r="BC11" s="106"/>
      <c r="BD11" s="106"/>
      <c r="BE11" s="106"/>
      <c r="BF11" s="106"/>
      <c r="BG11" s="106"/>
      <c r="BH11" s="106"/>
      <c r="BI11" s="106"/>
      <c r="BJ11" s="106"/>
    </row>
    <row r="12" spans="2:286" s="94" customFormat="1" ht="30" customHeight="1" x14ac:dyDescent="0.2">
      <c r="B12" s="424" t="s">
        <v>29</v>
      </c>
      <c r="C12" s="94">
        <v>58</v>
      </c>
      <c r="E12" s="94">
        <v>23670</v>
      </c>
      <c r="G12" s="95">
        <v>1375937</v>
      </c>
      <c r="I12" s="94">
        <v>22</v>
      </c>
      <c r="K12" s="95">
        <v>3484</v>
      </c>
      <c r="M12" s="95">
        <v>379613</v>
      </c>
      <c r="O12" s="94">
        <v>21</v>
      </c>
      <c r="Q12" s="95">
        <v>3461</v>
      </c>
      <c r="S12" s="95">
        <v>109904</v>
      </c>
      <c r="U12" s="94">
        <v>20</v>
      </c>
      <c r="W12" s="95">
        <v>3740</v>
      </c>
      <c r="Y12" s="95">
        <v>124172</v>
      </c>
      <c r="AA12" s="94">
        <v>10</v>
      </c>
      <c r="AC12" s="95">
        <v>4468</v>
      </c>
      <c r="AE12" s="95">
        <v>91568</v>
      </c>
      <c r="AG12" s="94">
        <v>7</v>
      </c>
      <c r="AI12" s="95">
        <v>1642</v>
      </c>
      <c r="AK12" s="95">
        <v>26072</v>
      </c>
      <c r="AM12" s="95">
        <v>12</v>
      </c>
      <c r="AN12" s="95"/>
      <c r="AO12" s="95">
        <v>10964</v>
      </c>
      <c r="AP12" s="95"/>
      <c r="AQ12" s="94">
        <v>248476</v>
      </c>
      <c r="AR12" s="95"/>
      <c r="AS12" s="95">
        <v>4</v>
      </c>
      <c r="AT12" s="95"/>
      <c r="AU12" s="95">
        <v>884</v>
      </c>
      <c r="AV12" s="95"/>
      <c r="AW12" s="94">
        <v>16752</v>
      </c>
      <c r="AX12" s="95"/>
      <c r="AY12" s="106"/>
      <c r="AZ12" s="106"/>
      <c r="BA12" s="107"/>
      <c r="BB12" s="107"/>
      <c r="BC12" s="107"/>
      <c r="BD12" s="107"/>
      <c r="BE12" s="107"/>
      <c r="BF12" s="107"/>
      <c r="BG12" s="106"/>
      <c r="BH12" s="106"/>
      <c r="BI12" s="106"/>
      <c r="BJ12" s="106"/>
    </row>
    <row r="13" spans="2:286" s="94" customFormat="1" ht="30" customHeight="1" x14ac:dyDescent="0.2">
      <c r="B13" s="424" t="s">
        <v>30</v>
      </c>
      <c r="C13" s="94">
        <v>44</v>
      </c>
      <c r="E13" s="94">
        <v>7811</v>
      </c>
      <c r="G13" s="94">
        <v>372599</v>
      </c>
      <c r="I13" s="94">
        <v>24</v>
      </c>
      <c r="K13" s="94">
        <v>10029</v>
      </c>
      <c r="M13" s="94">
        <v>432852</v>
      </c>
      <c r="O13" s="94">
        <v>27</v>
      </c>
      <c r="Q13" s="94">
        <v>20628</v>
      </c>
      <c r="S13" s="94">
        <v>353584</v>
      </c>
      <c r="U13" s="94">
        <v>29</v>
      </c>
      <c r="W13" s="94">
        <v>10246</v>
      </c>
      <c r="Y13" s="94">
        <v>359831</v>
      </c>
      <c r="AA13" s="95">
        <v>16</v>
      </c>
      <c r="AB13" s="95"/>
      <c r="AC13" s="95">
        <v>6646</v>
      </c>
      <c r="AD13" s="95"/>
      <c r="AE13" s="95">
        <v>94156</v>
      </c>
      <c r="AF13" s="95"/>
      <c r="AG13" s="94">
        <v>19</v>
      </c>
      <c r="AI13" s="94">
        <v>5018</v>
      </c>
      <c r="AK13" s="94">
        <v>82979</v>
      </c>
      <c r="AM13" s="94">
        <v>5</v>
      </c>
      <c r="AO13" s="94">
        <v>1853</v>
      </c>
      <c r="AQ13" s="94">
        <v>73552</v>
      </c>
      <c r="AS13" s="94">
        <v>4</v>
      </c>
      <c r="AU13" s="94">
        <v>1022</v>
      </c>
      <c r="AW13" s="94">
        <v>7218</v>
      </c>
      <c r="AY13" s="106"/>
      <c r="AZ13" s="106"/>
      <c r="BA13" s="106"/>
      <c r="BB13" s="106"/>
      <c r="BC13" s="106"/>
      <c r="BD13" s="106"/>
      <c r="BE13" s="107"/>
      <c r="BF13" s="106"/>
      <c r="BG13" s="106"/>
      <c r="BH13" s="106"/>
      <c r="BI13" s="106"/>
      <c r="BJ13" s="106"/>
    </row>
    <row r="14" spans="2:286" s="94" customFormat="1" ht="30" customHeight="1" x14ac:dyDescent="0.2">
      <c r="B14" s="424" t="s">
        <v>31</v>
      </c>
      <c r="C14" s="94">
        <v>43</v>
      </c>
      <c r="E14" s="94">
        <v>16891</v>
      </c>
      <c r="G14" s="95">
        <v>415787</v>
      </c>
      <c r="I14" s="94">
        <v>22</v>
      </c>
      <c r="K14" s="95">
        <v>46521</v>
      </c>
      <c r="M14" s="95">
        <v>529860</v>
      </c>
      <c r="O14" s="94">
        <v>24</v>
      </c>
      <c r="Q14" s="95">
        <v>40295</v>
      </c>
      <c r="S14" s="95">
        <v>449676</v>
      </c>
      <c r="U14" s="94">
        <v>12</v>
      </c>
      <c r="W14" s="95">
        <v>4007</v>
      </c>
      <c r="Y14" s="95">
        <v>494208</v>
      </c>
      <c r="AA14" s="95">
        <v>7</v>
      </c>
      <c r="AB14" s="95"/>
      <c r="AC14" s="95">
        <v>3305</v>
      </c>
      <c r="AD14" s="95"/>
      <c r="AE14" s="95">
        <v>83800</v>
      </c>
      <c r="AF14" s="95"/>
      <c r="AG14" s="94">
        <v>6</v>
      </c>
      <c r="AI14" s="95">
        <v>4697</v>
      </c>
      <c r="AK14" s="95">
        <v>105312</v>
      </c>
      <c r="AM14" s="95">
        <v>6</v>
      </c>
      <c r="AN14" s="95"/>
      <c r="AO14" s="95">
        <v>4376</v>
      </c>
      <c r="AP14" s="95"/>
      <c r="AQ14" s="94">
        <v>54152</v>
      </c>
      <c r="AR14" s="95"/>
      <c r="AS14" s="95">
        <v>6</v>
      </c>
      <c r="AT14" s="95"/>
      <c r="AU14" s="95">
        <v>6472</v>
      </c>
      <c r="AV14" s="95"/>
      <c r="AW14" s="94">
        <v>63768</v>
      </c>
      <c r="AX14" s="95"/>
      <c r="AY14" s="106"/>
      <c r="AZ14" s="106"/>
      <c r="BA14" s="107"/>
      <c r="BB14" s="107"/>
      <c r="BC14" s="107"/>
      <c r="BD14" s="107"/>
      <c r="BE14" s="107"/>
      <c r="BF14" s="107"/>
      <c r="BG14" s="106"/>
      <c r="BH14" s="106"/>
      <c r="BI14" s="106"/>
      <c r="BJ14" s="106"/>
    </row>
    <row r="15" spans="2:286" s="94" customFormat="1" ht="30" customHeight="1" x14ac:dyDescent="0.2">
      <c r="B15" s="424" t="s">
        <v>32</v>
      </c>
      <c r="C15" s="94">
        <v>24</v>
      </c>
      <c r="E15" s="94">
        <v>34591</v>
      </c>
      <c r="G15" s="94">
        <v>670633</v>
      </c>
      <c r="I15" s="94">
        <v>32</v>
      </c>
      <c r="K15" s="94">
        <v>9001</v>
      </c>
      <c r="M15" s="94">
        <v>212478</v>
      </c>
      <c r="O15" s="94">
        <v>3</v>
      </c>
      <c r="Q15" s="94">
        <v>224</v>
      </c>
      <c r="S15" s="94">
        <v>34880</v>
      </c>
      <c r="U15" s="94">
        <v>11</v>
      </c>
      <c r="W15" s="94">
        <v>1250</v>
      </c>
      <c r="Y15" s="94">
        <v>104742</v>
      </c>
      <c r="AA15" s="94">
        <v>12</v>
      </c>
      <c r="AC15" s="94">
        <v>3652</v>
      </c>
      <c r="AE15" s="94">
        <v>88536</v>
      </c>
      <c r="AG15" s="94">
        <v>2</v>
      </c>
      <c r="AI15" s="94">
        <v>344</v>
      </c>
      <c r="AK15" s="94">
        <v>38840</v>
      </c>
      <c r="AM15" s="94">
        <v>5</v>
      </c>
      <c r="AO15" s="94">
        <v>2273</v>
      </c>
      <c r="AQ15" s="94">
        <v>108720</v>
      </c>
      <c r="AS15" s="94">
        <v>4</v>
      </c>
      <c r="AU15" s="94">
        <v>374</v>
      </c>
      <c r="AW15" s="94">
        <v>12000</v>
      </c>
      <c r="AY15" s="106"/>
      <c r="AZ15" s="106"/>
      <c r="BA15" s="106"/>
      <c r="BB15" s="106"/>
      <c r="BC15" s="106"/>
      <c r="BD15" s="106"/>
      <c r="BE15" s="106"/>
      <c r="BF15" s="106"/>
      <c r="BG15" s="106"/>
      <c r="BH15" s="106"/>
      <c r="BI15" s="106"/>
      <c r="BJ15" s="106"/>
    </row>
    <row r="16" spans="2:286" s="94" customFormat="1" ht="30" customHeight="1" x14ac:dyDescent="0.2">
      <c r="B16" s="424" t="s">
        <v>33</v>
      </c>
      <c r="C16" s="94">
        <v>43</v>
      </c>
      <c r="E16" s="95">
        <v>32715</v>
      </c>
      <c r="G16" s="95">
        <v>2414548</v>
      </c>
      <c r="I16" s="94">
        <v>21</v>
      </c>
      <c r="K16" s="94">
        <v>7383</v>
      </c>
      <c r="M16" s="94">
        <v>269204</v>
      </c>
      <c r="O16" s="94">
        <v>13</v>
      </c>
      <c r="Q16" s="94">
        <v>7113</v>
      </c>
      <c r="S16" s="94">
        <v>288265</v>
      </c>
      <c r="U16" s="94">
        <v>11</v>
      </c>
      <c r="W16" s="94">
        <v>1716</v>
      </c>
      <c r="Y16" s="94">
        <v>143590</v>
      </c>
      <c r="AA16" s="94">
        <v>23</v>
      </c>
      <c r="AC16" s="94">
        <v>14641</v>
      </c>
      <c r="AE16" s="94">
        <v>768704</v>
      </c>
      <c r="AG16" s="95">
        <v>3</v>
      </c>
      <c r="AH16" s="95"/>
      <c r="AI16" s="95">
        <v>450</v>
      </c>
      <c r="AJ16" s="95"/>
      <c r="AK16" s="95">
        <v>38384</v>
      </c>
      <c r="AL16" s="95"/>
      <c r="AM16" s="95">
        <v>6</v>
      </c>
      <c r="AN16" s="95"/>
      <c r="AO16" s="94">
        <v>4207</v>
      </c>
      <c r="AP16" s="95"/>
      <c r="AQ16" s="94">
        <v>461720</v>
      </c>
      <c r="AR16" s="95"/>
      <c r="AS16" s="95">
        <v>6</v>
      </c>
      <c r="AU16" s="94">
        <v>545</v>
      </c>
      <c r="AW16" s="94">
        <v>11698</v>
      </c>
      <c r="AX16" s="95"/>
      <c r="AY16" s="106"/>
      <c r="AZ16" s="106"/>
      <c r="BA16" s="107"/>
      <c r="BB16" s="106"/>
      <c r="BC16" s="106"/>
      <c r="BD16" s="106"/>
      <c r="BE16" s="106"/>
      <c r="BF16" s="107"/>
      <c r="BG16" s="106"/>
      <c r="BH16" s="106"/>
      <c r="BI16" s="106"/>
      <c r="BJ16" s="106"/>
    </row>
    <row r="17" spans="2:62" s="94" customFormat="1" ht="25.15" customHeight="1" x14ac:dyDescent="0.2">
      <c r="B17" s="424" t="s">
        <v>34</v>
      </c>
      <c r="C17" s="95">
        <v>93</v>
      </c>
      <c r="D17" s="95"/>
      <c r="E17" s="94">
        <v>44236</v>
      </c>
      <c r="F17" s="95"/>
      <c r="G17" s="95">
        <v>2070365</v>
      </c>
      <c r="H17" s="95"/>
      <c r="I17" s="95">
        <v>32</v>
      </c>
      <c r="J17" s="95"/>
      <c r="K17" s="95">
        <v>10836</v>
      </c>
      <c r="L17" s="95"/>
      <c r="M17" s="95">
        <v>422476</v>
      </c>
      <c r="N17" s="95"/>
      <c r="O17" s="95">
        <v>16</v>
      </c>
      <c r="P17" s="95"/>
      <c r="Q17" s="95">
        <v>5288</v>
      </c>
      <c r="R17" s="95"/>
      <c r="S17" s="95">
        <v>99402</v>
      </c>
      <c r="T17" s="95"/>
      <c r="U17" s="95">
        <v>6</v>
      </c>
      <c r="V17" s="95"/>
      <c r="W17" s="95">
        <v>1056</v>
      </c>
      <c r="X17" s="95"/>
      <c r="Y17" s="95">
        <v>109584</v>
      </c>
      <c r="Z17" s="95"/>
      <c r="AA17" s="95">
        <v>32</v>
      </c>
      <c r="AB17" s="95"/>
      <c r="AC17" s="95">
        <v>10085</v>
      </c>
      <c r="AD17" s="95"/>
      <c r="AE17" s="95">
        <v>254552</v>
      </c>
      <c r="AF17" s="95"/>
      <c r="AG17" s="94">
        <v>7</v>
      </c>
      <c r="AI17" s="95">
        <v>1502</v>
      </c>
      <c r="AK17" s="95">
        <v>42008</v>
      </c>
      <c r="AM17" s="95">
        <v>5</v>
      </c>
      <c r="AN17" s="95"/>
      <c r="AO17" s="95">
        <v>1655</v>
      </c>
      <c r="AP17" s="95"/>
      <c r="AQ17" s="94">
        <v>122026</v>
      </c>
      <c r="AR17" s="95"/>
      <c r="AS17" s="95">
        <v>5</v>
      </c>
      <c r="AT17" s="95"/>
      <c r="AU17" s="95">
        <v>5021</v>
      </c>
      <c r="AV17" s="95"/>
      <c r="AW17" s="94">
        <v>121040</v>
      </c>
      <c r="AX17" s="95"/>
      <c r="AY17" s="106"/>
      <c r="AZ17" s="106"/>
      <c r="BA17" s="107"/>
      <c r="BB17" s="107"/>
      <c r="BC17" s="107"/>
      <c r="BD17" s="107"/>
      <c r="BE17" s="107"/>
      <c r="BF17" s="107"/>
      <c r="BG17" s="106"/>
      <c r="BH17" s="106"/>
      <c r="BI17" s="106"/>
      <c r="BJ17" s="106"/>
    </row>
    <row r="18" spans="2:62" s="94" customFormat="1" ht="25.15" customHeight="1" x14ac:dyDescent="0.2">
      <c r="B18" s="424" t="s">
        <v>35</v>
      </c>
      <c r="C18" s="95">
        <v>42</v>
      </c>
      <c r="D18" s="95"/>
      <c r="E18" s="94">
        <v>12904</v>
      </c>
      <c r="F18" s="95"/>
      <c r="G18" s="95">
        <v>971815</v>
      </c>
      <c r="H18" s="95"/>
      <c r="I18" s="95">
        <v>25</v>
      </c>
      <c r="J18" s="95"/>
      <c r="K18" s="95">
        <v>16238</v>
      </c>
      <c r="L18" s="95"/>
      <c r="M18" s="95">
        <v>843384</v>
      </c>
      <c r="N18" s="95"/>
      <c r="O18" s="94">
        <v>13</v>
      </c>
      <c r="Q18" s="95">
        <v>6207</v>
      </c>
      <c r="S18" s="95">
        <v>136534</v>
      </c>
      <c r="U18" s="94">
        <v>6</v>
      </c>
      <c r="W18" s="95">
        <v>1193</v>
      </c>
      <c r="Y18" s="95">
        <v>166976</v>
      </c>
      <c r="AA18" s="95">
        <v>16</v>
      </c>
      <c r="AB18" s="95"/>
      <c r="AC18" s="95">
        <v>3397</v>
      </c>
      <c r="AD18" s="95"/>
      <c r="AE18" s="95">
        <v>165312</v>
      </c>
      <c r="AF18" s="95"/>
      <c r="AG18" s="94">
        <v>8</v>
      </c>
      <c r="AI18" s="95">
        <v>1491</v>
      </c>
      <c r="AK18" s="95">
        <v>19848</v>
      </c>
      <c r="AM18" s="95">
        <v>3</v>
      </c>
      <c r="AN18" s="95"/>
      <c r="AO18" s="95">
        <v>1484</v>
      </c>
      <c r="AP18" s="95"/>
      <c r="AQ18" s="94">
        <v>12624</v>
      </c>
      <c r="AR18" s="95"/>
      <c r="AS18" s="95">
        <v>3</v>
      </c>
      <c r="AT18" s="95"/>
      <c r="AU18" s="95">
        <v>293</v>
      </c>
      <c r="AV18" s="95"/>
      <c r="AW18" s="94">
        <v>24080</v>
      </c>
      <c r="AX18" s="95"/>
      <c r="AY18" s="106"/>
      <c r="AZ18" s="106"/>
      <c r="BA18" s="107"/>
      <c r="BB18" s="107"/>
      <c r="BC18" s="107"/>
      <c r="BD18" s="107"/>
      <c r="BE18" s="107"/>
      <c r="BF18" s="107"/>
      <c r="BG18" s="106"/>
      <c r="BH18" s="106"/>
      <c r="BI18" s="106"/>
      <c r="BJ18" s="106"/>
    </row>
    <row r="19" spans="2:62" s="94" customFormat="1" ht="25.15" customHeight="1" x14ac:dyDescent="0.2">
      <c r="B19" s="424" t="s">
        <v>36</v>
      </c>
      <c r="C19" s="95">
        <v>21</v>
      </c>
      <c r="D19" s="95"/>
      <c r="E19" s="95">
        <v>3372</v>
      </c>
      <c r="F19" s="95"/>
      <c r="G19" s="95">
        <v>145968</v>
      </c>
      <c r="H19" s="95"/>
      <c r="I19" s="95">
        <v>7</v>
      </c>
      <c r="J19" s="95"/>
      <c r="K19" s="95">
        <v>1132</v>
      </c>
      <c r="L19" s="95"/>
      <c r="M19" s="95">
        <v>107235</v>
      </c>
      <c r="N19" s="95"/>
      <c r="O19" s="94">
        <v>16</v>
      </c>
      <c r="Q19" s="95">
        <v>6355</v>
      </c>
      <c r="S19" s="95">
        <v>184042</v>
      </c>
      <c r="U19" s="95">
        <v>11</v>
      </c>
      <c r="V19" s="95"/>
      <c r="W19" s="95">
        <v>2023</v>
      </c>
      <c r="X19" s="95"/>
      <c r="Y19" s="95">
        <v>40754</v>
      </c>
      <c r="Z19" s="95"/>
      <c r="AA19" s="94">
        <v>18</v>
      </c>
      <c r="AC19" s="95">
        <v>6758</v>
      </c>
      <c r="AE19" s="95">
        <v>186328</v>
      </c>
      <c r="AG19" s="95">
        <v>6</v>
      </c>
      <c r="AH19" s="95"/>
      <c r="AI19" s="95">
        <v>1106</v>
      </c>
      <c r="AJ19" s="95"/>
      <c r="AK19" s="95">
        <v>94440</v>
      </c>
      <c r="AL19" s="95"/>
      <c r="AM19" s="95">
        <v>3</v>
      </c>
      <c r="AN19" s="95"/>
      <c r="AO19" s="95">
        <v>464</v>
      </c>
      <c r="AP19" s="95"/>
      <c r="AQ19" s="94">
        <v>5632</v>
      </c>
      <c r="AR19" s="95"/>
      <c r="AS19" s="95">
        <v>3</v>
      </c>
      <c r="AT19" s="95"/>
      <c r="AU19" s="95">
        <v>153</v>
      </c>
      <c r="AV19" s="95"/>
      <c r="AW19" s="94">
        <v>6242</v>
      </c>
      <c r="AX19" s="95"/>
      <c r="AY19" s="106"/>
      <c r="AZ19" s="106"/>
      <c r="BA19" s="107"/>
      <c r="BB19" s="107"/>
      <c r="BC19" s="107"/>
      <c r="BD19" s="107"/>
      <c r="BE19" s="107"/>
      <c r="BF19" s="107"/>
      <c r="BG19" s="106"/>
      <c r="BH19" s="106"/>
      <c r="BI19" s="106"/>
      <c r="BJ19" s="106"/>
    </row>
    <row r="20" spans="2:62" s="104" customFormat="1" ht="30" customHeight="1" x14ac:dyDescent="0.2">
      <c r="B20" s="415" t="s">
        <v>6</v>
      </c>
      <c r="C20" s="416">
        <f>SUM(C8:C19)</f>
        <v>613</v>
      </c>
      <c r="D20" s="416"/>
      <c r="E20" s="416">
        <f>SUM(E8:E19)</f>
        <v>258234</v>
      </c>
      <c r="F20" s="416"/>
      <c r="G20" s="416">
        <f>SUM(G8:G19)</f>
        <v>15067880</v>
      </c>
      <c r="H20" s="417"/>
      <c r="I20" s="416">
        <f>SUM(I8:I19)</f>
        <v>315</v>
      </c>
      <c r="J20" s="416"/>
      <c r="K20" s="416">
        <f>SUM(K8:K19)</f>
        <v>180728</v>
      </c>
      <c r="L20" s="416"/>
      <c r="M20" s="416">
        <f>SUM(M8:M19)</f>
        <v>8880886</v>
      </c>
      <c r="N20" s="417"/>
      <c r="O20" s="416">
        <f>SUM(O8:O19)</f>
        <v>219</v>
      </c>
      <c r="P20" s="416"/>
      <c r="Q20" s="416">
        <f>SUM(Q8:Q19)</f>
        <v>114656</v>
      </c>
      <c r="R20" s="416"/>
      <c r="S20" s="416">
        <f>SUM(S8:S19)</f>
        <v>2319379</v>
      </c>
      <c r="T20" s="417"/>
      <c r="U20" s="416">
        <f>SUM(U8:U19)</f>
        <v>151</v>
      </c>
      <c r="V20" s="416"/>
      <c r="W20" s="416">
        <f>SUM(W8:W19)</f>
        <v>41474</v>
      </c>
      <c r="X20" s="416"/>
      <c r="Y20" s="416">
        <f>SUM(Y8:Y19)</f>
        <v>2167764</v>
      </c>
      <c r="Z20" s="417"/>
      <c r="AA20" s="416">
        <f>SUM(AA8:AA19)</f>
        <v>168</v>
      </c>
      <c r="AB20" s="416"/>
      <c r="AC20" s="416">
        <f>SUM(AC8:AC19)</f>
        <v>62940</v>
      </c>
      <c r="AD20" s="416"/>
      <c r="AE20" s="416">
        <f>SUM(AE8:AE19)</f>
        <v>1936647</v>
      </c>
      <c r="AF20" s="417"/>
      <c r="AG20" s="416">
        <f>SUM(AG8:AG19)</f>
        <v>102</v>
      </c>
      <c r="AH20" s="416"/>
      <c r="AI20" s="416">
        <f>SUM(AI8:AI19)</f>
        <v>28182</v>
      </c>
      <c r="AJ20" s="416"/>
      <c r="AK20" s="416">
        <f>SUM(AK8:AK19)</f>
        <v>1048753</v>
      </c>
      <c r="AL20" s="417"/>
      <c r="AM20" s="416">
        <f>SUM(AM8:AM19)</f>
        <v>77</v>
      </c>
      <c r="AN20" s="416"/>
      <c r="AO20" s="416">
        <f>SUM(AO8:AO19)</f>
        <v>36242</v>
      </c>
      <c r="AP20" s="416"/>
      <c r="AQ20" s="416">
        <f>SUM(AQ8:AQ19)</f>
        <v>1399886</v>
      </c>
      <c r="AR20" s="417"/>
      <c r="AS20" s="416">
        <f>SUM(AS8:AS19)</f>
        <v>66</v>
      </c>
      <c r="AT20" s="416"/>
      <c r="AU20" s="416">
        <f>SUM(AU8:AU19)</f>
        <v>19196</v>
      </c>
      <c r="AV20" s="416"/>
      <c r="AW20" s="416">
        <f>SUM(AW8:AW19)</f>
        <v>319414</v>
      </c>
      <c r="AX20" s="416"/>
      <c r="AY20" s="108"/>
      <c r="AZ20" s="108"/>
      <c r="BA20" s="108"/>
      <c r="BB20" s="108"/>
      <c r="BC20" s="108"/>
      <c r="BD20" s="108"/>
      <c r="BE20" s="108"/>
      <c r="BF20" s="108"/>
      <c r="BG20" s="108"/>
      <c r="BH20" s="108"/>
      <c r="BI20" s="108"/>
      <c r="BJ20" s="108"/>
    </row>
    <row r="21" spans="2:62" s="106" customFormat="1" ht="25.15" customHeight="1" x14ac:dyDescent="0.2">
      <c r="B21" s="109"/>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row>
    <row r="22" spans="2:62" s="104" customFormat="1" ht="25.15" customHeight="1" x14ac:dyDescent="0.25">
      <c r="B22" s="771" t="s">
        <v>24</v>
      </c>
      <c r="C22" s="778" t="s">
        <v>226</v>
      </c>
      <c r="D22" s="778"/>
      <c r="E22" s="778"/>
      <c r="F22" s="778"/>
      <c r="G22" s="778"/>
      <c r="H22" s="778"/>
      <c r="I22" s="778"/>
      <c r="J22" s="778"/>
      <c r="K22" s="778"/>
      <c r="L22" s="778"/>
      <c r="M22" s="778"/>
      <c r="N22" s="778"/>
      <c r="O22" s="778"/>
      <c r="P22" s="778"/>
      <c r="Q22" s="778"/>
      <c r="R22" s="778"/>
      <c r="S22" s="778"/>
      <c r="T22" s="778"/>
      <c r="U22" s="778"/>
      <c r="V22" s="778"/>
      <c r="W22" s="778"/>
      <c r="X22" s="778"/>
      <c r="Y22" s="778"/>
      <c r="Z22" s="778"/>
      <c r="AA22" s="778"/>
      <c r="AB22" s="778"/>
      <c r="AC22" s="778"/>
      <c r="AD22" s="778"/>
      <c r="AE22" s="778"/>
      <c r="AF22" s="778"/>
      <c r="AG22" s="778"/>
      <c r="AH22" s="778"/>
      <c r="AI22" s="778"/>
      <c r="AJ22" s="778"/>
      <c r="AK22" s="778"/>
      <c r="AL22" s="778"/>
      <c r="AM22" s="778"/>
      <c r="AN22" s="778"/>
      <c r="AO22" s="778"/>
      <c r="AP22" s="778"/>
      <c r="AQ22" s="778"/>
      <c r="AR22" s="778"/>
      <c r="AS22" s="778"/>
      <c r="AT22" s="778"/>
      <c r="AU22" s="778"/>
      <c r="AV22" s="778"/>
      <c r="AW22" s="778"/>
      <c r="AX22" s="778"/>
      <c r="AY22" s="103"/>
      <c r="AZ22" s="103"/>
      <c r="BA22" s="779"/>
      <c r="BB22" s="779"/>
      <c r="BC22" s="779"/>
      <c r="BD22" s="779"/>
      <c r="BE22" s="779"/>
      <c r="BF22" s="779"/>
      <c r="BG22" s="779"/>
      <c r="BH22" s="779"/>
      <c r="BI22" s="779"/>
      <c r="BJ22" s="779"/>
    </row>
    <row r="23" spans="2:62" s="104" customFormat="1" ht="25.15" customHeight="1" x14ac:dyDescent="0.25">
      <c r="B23" s="771"/>
      <c r="C23" s="776">
        <v>1998</v>
      </c>
      <c r="D23" s="776"/>
      <c r="E23" s="776"/>
      <c r="F23" s="776"/>
      <c r="G23" s="776"/>
      <c r="H23" s="776"/>
      <c r="I23" s="776">
        <v>1999</v>
      </c>
      <c r="J23" s="776"/>
      <c r="K23" s="776"/>
      <c r="L23" s="776"/>
      <c r="M23" s="776"/>
      <c r="N23" s="776"/>
      <c r="O23" s="764">
        <v>2000</v>
      </c>
      <c r="P23" s="764"/>
      <c r="Q23" s="764"/>
      <c r="R23" s="764"/>
      <c r="S23" s="764"/>
      <c r="T23" s="764"/>
      <c r="U23" s="764">
        <v>2001</v>
      </c>
      <c r="V23" s="764"/>
      <c r="W23" s="764"/>
      <c r="X23" s="764"/>
      <c r="Y23" s="764"/>
      <c r="Z23" s="764"/>
      <c r="AA23" s="764">
        <v>2002</v>
      </c>
      <c r="AB23" s="764"/>
      <c r="AC23" s="764"/>
      <c r="AD23" s="764"/>
      <c r="AE23" s="764"/>
      <c r="AF23" s="764"/>
      <c r="AG23" s="764">
        <v>2003</v>
      </c>
      <c r="AH23" s="764"/>
      <c r="AI23" s="764"/>
      <c r="AJ23" s="764"/>
      <c r="AK23" s="764"/>
      <c r="AL23" s="764"/>
      <c r="AM23" s="764">
        <v>2004</v>
      </c>
      <c r="AN23" s="764"/>
      <c r="AO23" s="764"/>
      <c r="AP23" s="764"/>
      <c r="AQ23" s="764"/>
      <c r="AR23" s="764"/>
      <c r="AS23" s="764">
        <v>2005</v>
      </c>
      <c r="AT23" s="764"/>
      <c r="AU23" s="764"/>
      <c r="AV23" s="764"/>
      <c r="AW23" s="764"/>
      <c r="AX23" s="764"/>
      <c r="AY23" s="103"/>
      <c r="AZ23" s="103"/>
      <c r="BA23" s="111"/>
      <c r="BB23" s="111"/>
      <c r="BC23" s="111"/>
      <c r="BD23" s="111"/>
      <c r="BE23" s="111"/>
      <c r="BF23" s="111"/>
      <c r="BG23" s="111"/>
      <c r="BH23" s="111"/>
      <c r="BI23" s="111"/>
      <c r="BJ23" s="111"/>
    </row>
    <row r="24" spans="2:62" s="104" customFormat="1" ht="25.15" customHeight="1" x14ac:dyDescent="0.2">
      <c r="B24" s="771"/>
      <c r="C24" s="776" t="s">
        <v>176</v>
      </c>
      <c r="D24" s="777"/>
      <c r="E24" s="780" t="s">
        <v>210</v>
      </c>
      <c r="F24" s="777"/>
      <c r="G24" s="780" t="s">
        <v>211</v>
      </c>
      <c r="H24" s="776"/>
      <c r="I24" s="776" t="s">
        <v>176</v>
      </c>
      <c r="J24" s="777"/>
      <c r="K24" s="780" t="s">
        <v>210</v>
      </c>
      <c r="L24" s="777"/>
      <c r="M24" s="780" t="s">
        <v>211</v>
      </c>
      <c r="N24" s="776"/>
      <c r="O24" s="776" t="s">
        <v>176</v>
      </c>
      <c r="P24" s="777"/>
      <c r="Q24" s="780" t="s">
        <v>210</v>
      </c>
      <c r="R24" s="777"/>
      <c r="S24" s="780" t="s">
        <v>211</v>
      </c>
      <c r="T24" s="776"/>
      <c r="U24" s="776" t="s">
        <v>176</v>
      </c>
      <c r="V24" s="777"/>
      <c r="W24" s="780" t="s">
        <v>210</v>
      </c>
      <c r="X24" s="777"/>
      <c r="Y24" s="780" t="s">
        <v>211</v>
      </c>
      <c r="Z24" s="776"/>
      <c r="AA24" s="776" t="s">
        <v>176</v>
      </c>
      <c r="AB24" s="777"/>
      <c r="AC24" s="780" t="s">
        <v>210</v>
      </c>
      <c r="AD24" s="777"/>
      <c r="AE24" s="780" t="s">
        <v>211</v>
      </c>
      <c r="AF24" s="776"/>
      <c r="AG24" s="776" t="s">
        <v>176</v>
      </c>
      <c r="AH24" s="777"/>
      <c r="AI24" s="780" t="s">
        <v>210</v>
      </c>
      <c r="AJ24" s="777"/>
      <c r="AK24" s="780" t="s">
        <v>211</v>
      </c>
      <c r="AL24" s="776"/>
      <c r="AM24" s="776" t="s">
        <v>176</v>
      </c>
      <c r="AN24" s="777"/>
      <c r="AO24" s="780" t="s">
        <v>210</v>
      </c>
      <c r="AP24" s="777"/>
      <c r="AQ24" s="780" t="s">
        <v>211</v>
      </c>
      <c r="AR24" s="776"/>
      <c r="AS24" s="776" t="s">
        <v>176</v>
      </c>
      <c r="AT24" s="777"/>
      <c r="AU24" s="780" t="s">
        <v>210</v>
      </c>
      <c r="AV24" s="777"/>
      <c r="AW24" s="780" t="s">
        <v>211</v>
      </c>
      <c r="AX24" s="776"/>
      <c r="BA24" s="105"/>
      <c r="BB24" s="105"/>
      <c r="BC24" s="105"/>
      <c r="BD24" s="105"/>
      <c r="BE24" s="105"/>
      <c r="BF24" s="105"/>
      <c r="BG24" s="105"/>
      <c r="BH24" s="105"/>
      <c r="BI24" s="105"/>
      <c r="BJ24" s="105"/>
    </row>
    <row r="25" spans="2:62" s="94" customFormat="1" ht="30" customHeight="1" x14ac:dyDescent="0.2">
      <c r="B25" s="424" t="s">
        <v>25</v>
      </c>
      <c r="C25" s="94">
        <v>3</v>
      </c>
      <c r="D25" s="95"/>
      <c r="E25" s="94">
        <v>204</v>
      </c>
      <c r="G25" s="94">
        <v>1632</v>
      </c>
      <c r="H25" s="95"/>
      <c r="I25" s="94">
        <v>6</v>
      </c>
      <c r="K25" s="94">
        <v>888</v>
      </c>
      <c r="L25" s="95"/>
      <c r="M25" s="94">
        <v>16485</v>
      </c>
      <c r="O25" s="94">
        <v>3</v>
      </c>
      <c r="P25" s="95"/>
      <c r="Q25" s="94">
        <v>471</v>
      </c>
      <c r="R25" s="95"/>
      <c r="S25" s="94">
        <v>9912</v>
      </c>
      <c r="T25" s="95"/>
      <c r="U25" s="94">
        <v>3</v>
      </c>
      <c r="W25" s="94">
        <v>684</v>
      </c>
      <c r="Y25" s="94">
        <v>30792</v>
      </c>
      <c r="AA25" s="94">
        <v>13</v>
      </c>
      <c r="AC25" s="94">
        <v>1517</v>
      </c>
      <c r="AE25" s="94">
        <v>51840</v>
      </c>
      <c r="AG25" s="94">
        <v>5</v>
      </c>
      <c r="AI25" s="94">
        <v>16830</v>
      </c>
      <c r="AK25" s="94">
        <v>445824</v>
      </c>
      <c r="AM25" s="94">
        <v>6</v>
      </c>
      <c r="AO25" s="94">
        <v>2471</v>
      </c>
      <c r="AQ25" s="95">
        <v>112008</v>
      </c>
      <c r="AS25" s="94">
        <v>3</v>
      </c>
      <c r="AU25" s="94">
        <v>759</v>
      </c>
      <c r="AW25" s="94">
        <v>7878</v>
      </c>
      <c r="AY25" s="106"/>
      <c r="AZ25" s="106"/>
      <c r="BA25" s="107"/>
      <c r="BB25" s="106"/>
      <c r="BC25" s="106"/>
      <c r="BD25" s="107"/>
      <c r="BE25" s="106"/>
      <c r="BF25" s="107"/>
      <c r="BG25" s="106"/>
      <c r="BH25" s="106"/>
      <c r="BI25" s="106"/>
      <c r="BJ25" s="106"/>
    </row>
    <row r="26" spans="2:62" s="94" customFormat="1" ht="30" customHeight="1" x14ac:dyDescent="0.2">
      <c r="B26" s="424" t="s">
        <v>26</v>
      </c>
      <c r="C26" s="94">
        <v>3</v>
      </c>
      <c r="D26" s="95"/>
      <c r="E26" s="94">
        <v>721</v>
      </c>
      <c r="G26" s="94">
        <v>14944</v>
      </c>
      <c r="H26" s="95"/>
      <c r="I26" s="94">
        <v>12</v>
      </c>
      <c r="K26" s="94">
        <v>6706</v>
      </c>
      <c r="L26" s="95"/>
      <c r="M26" s="94">
        <v>56352</v>
      </c>
      <c r="O26" s="94">
        <v>4</v>
      </c>
      <c r="Q26" s="94">
        <v>931</v>
      </c>
      <c r="S26" s="94">
        <v>12008</v>
      </c>
      <c r="U26" s="94">
        <v>1</v>
      </c>
      <c r="W26" s="94">
        <v>80</v>
      </c>
      <c r="Y26" s="95">
        <v>640</v>
      </c>
      <c r="AA26" s="94">
        <v>1</v>
      </c>
      <c r="AC26" s="94">
        <v>300</v>
      </c>
      <c r="AE26" s="94">
        <v>18976</v>
      </c>
      <c r="AG26" s="94">
        <v>7</v>
      </c>
      <c r="AI26" s="94">
        <v>498</v>
      </c>
      <c r="AK26" s="95">
        <v>17006</v>
      </c>
      <c r="AM26" s="94">
        <v>6</v>
      </c>
      <c r="AO26" s="94">
        <v>1399</v>
      </c>
      <c r="AQ26" s="95">
        <v>24952</v>
      </c>
      <c r="AS26" s="94">
        <v>3</v>
      </c>
      <c r="AU26" s="94">
        <v>440</v>
      </c>
      <c r="AW26" s="94">
        <v>3520</v>
      </c>
      <c r="AY26" s="106"/>
      <c r="AZ26" s="106"/>
      <c r="BA26" s="107"/>
      <c r="BB26" s="106"/>
      <c r="BC26" s="107"/>
      <c r="BD26" s="107"/>
      <c r="BE26" s="107"/>
      <c r="BF26" s="107"/>
      <c r="BG26" s="106"/>
      <c r="BH26" s="106"/>
      <c r="BI26" s="106"/>
      <c r="BJ26" s="106"/>
    </row>
    <row r="27" spans="2:62" s="94" customFormat="1" ht="30" customHeight="1" x14ac:dyDescent="0.2">
      <c r="B27" s="424" t="s">
        <v>27</v>
      </c>
      <c r="C27" s="94">
        <v>4</v>
      </c>
      <c r="E27" s="94">
        <v>1020</v>
      </c>
      <c r="G27" s="94">
        <v>19688</v>
      </c>
      <c r="I27" s="94">
        <v>2</v>
      </c>
      <c r="K27" s="94">
        <v>201</v>
      </c>
      <c r="M27" s="94">
        <v>1608</v>
      </c>
      <c r="O27" s="94">
        <v>7</v>
      </c>
      <c r="Q27" s="94">
        <v>1230</v>
      </c>
      <c r="S27" s="94">
        <v>13340</v>
      </c>
      <c r="U27" s="94">
        <v>4</v>
      </c>
      <c r="W27" s="94">
        <v>1451</v>
      </c>
      <c r="Y27" s="94">
        <v>209712</v>
      </c>
      <c r="AA27" s="94">
        <v>4</v>
      </c>
      <c r="AC27" s="94">
        <v>5332</v>
      </c>
      <c r="AE27" s="94">
        <v>114832</v>
      </c>
      <c r="AG27" s="94">
        <v>2</v>
      </c>
      <c r="AI27" s="94">
        <v>64</v>
      </c>
      <c r="AK27" s="94">
        <v>7264</v>
      </c>
      <c r="AM27" s="94">
        <v>6</v>
      </c>
      <c r="AO27" s="94">
        <v>1106</v>
      </c>
      <c r="AQ27" s="94">
        <v>41968</v>
      </c>
      <c r="AS27" s="94">
        <v>6</v>
      </c>
      <c r="AU27" s="94">
        <v>3968</v>
      </c>
      <c r="AW27" s="94">
        <v>31744</v>
      </c>
      <c r="AY27" s="106"/>
      <c r="AZ27" s="106"/>
      <c r="BA27" s="106"/>
      <c r="BB27" s="106"/>
      <c r="BC27" s="106"/>
      <c r="BD27" s="106"/>
      <c r="BE27" s="106"/>
      <c r="BF27" s="106"/>
      <c r="BG27" s="106"/>
      <c r="BH27" s="106"/>
      <c r="BI27" s="106"/>
      <c r="BJ27" s="106"/>
    </row>
    <row r="28" spans="2:62" s="94" customFormat="1" ht="30" customHeight="1" x14ac:dyDescent="0.2">
      <c r="B28" s="424" t="s">
        <v>28</v>
      </c>
      <c r="C28" s="94">
        <v>3</v>
      </c>
      <c r="E28" s="94">
        <v>562</v>
      </c>
      <c r="G28" s="94">
        <v>27936</v>
      </c>
      <c r="I28" s="94">
        <v>6</v>
      </c>
      <c r="K28" s="94">
        <v>36712</v>
      </c>
      <c r="M28" s="94">
        <v>302872</v>
      </c>
      <c r="O28" s="95" t="s">
        <v>8</v>
      </c>
      <c r="Q28" s="94" t="s">
        <v>8</v>
      </c>
      <c r="S28" s="95" t="s">
        <v>8</v>
      </c>
      <c r="U28" s="94">
        <v>3</v>
      </c>
      <c r="W28" s="94">
        <v>197</v>
      </c>
      <c r="Y28" s="94">
        <v>1376</v>
      </c>
      <c r="AA28" s="94">
        <v>4</v>
      </c>
      <c r="AC28" s="94">
        <v>592</v>
      </c>
      <c r="AE28" s="94">
        <v>9208</v>
      </c>
      <c r="AG28" s="94">
        <v>4</v>
      </c>
      <c r="AH28" s="95"/>
      <c r="AI28" s="94">
        <v>2477</v>
      </c>
      <c r="AJ28" s="95"/>
      <c r="AK28" s="94">
        <v>39186</v>
      </c>
      <c r="AL28" s="95"/>
      <c r="AM28" s="94">
        <v>17</v>
      </c>
      <c r="AO28" s="94">
        <v>6897</v>
      </c>
      <c r="AQ28" s="94">
        <v>96408</v>
      </c>
      <c r="AS28" s="94">
        <v>6</v>
      </c>
      <c r="AU28" s="94">
        <v>2199</v>
      </c>
      <c r="AW28" s="94">
        <v>25544</v>
      </c>
      <c r="AY28" s="106"/>
      <c r="AZ28" s="106"/>
      <c r="BA28" s="106"/>
      <c r="BB28" s="106"/>
      <c r="BC28" s="106"/>
      <c r="BD28" s="106"/>
      <c r="BE28" s="106"/>
      <c r="BF28" s="106"/>
      <c r="BG28" s="106"/>
      <c r="BH28" s="106"/>
      <c r="BI28" s="106"/>
      <c r="BJ28" s="106"/>
    </row>
    <row r="29" spans="2:62" s="94" customFormat="1" ht="30" customHeight="1" x14ac:dyDescent="0.2">
      <c r="B29" s="424" t="s">
        <v>29</v>
      </c>
      <c r="C29" s="94">
        <v>6</v>
      </c>
      <c r="D29" s="95"/>
      <c r="E29" s="94">
        <v>1206</v>
      </c>
      <c r="F29" s="95"/>
      <c r="G29" s="94">
        <v>6660</v>
      </c>
      <c r="H29" s="95"/>
      <c r="I29" s="94">
        <v>5</v>
      </c>
      <c r="K29" s="94">
        <v>646</v>
      </c>
      <c r="L29" s="95"/>
      <c r="M29" s="94">
        <v>8376</v>
      </c>
      <c r="O29" s="94">
        <v>5</v>
      </c>
      <c r="P29" s="95"/>
      <c r="Q29" s="94">
        <v>521</v>
      </c>
      <c r="R29" s="95"/>
      <c r="S29" s="94">
        <v>9400</v>
      </c>
      <c r="T29" s="95"/>
      <c r="U29" s="94">
        <v>4</v>
      </c>
      <c r="W29" s="94">
        <v>1084</v>
      </c>
      <c r="Y29" s="95">
        <v>26704</v>
      </c>
      <c r="AA29" s="94">
        <v>10</v>
      </c>
      <c r="AC29" s="94">
        <v>3720</v>
      </c>
      <c r="AE29" s="94">
        <v>127320</v>
      </c>
      <c r="AG29" s="94">
        <v>5</v>
      </c>
      <c r="AI29" s="94">
        <v>335</v>
      </c>
      <c r="AK29" s="95">
        <v>5584</v>
      </c>
      <c r="AM29" s="94">
        <v>8</v>
      </c>
      <c r="AO29" s="94">
        <v>2176</v>
      </c>
      <c r="AQ29" s="95">
        <v>29576</v>
      </c>
      <c r="AS29" s="94">
        <v>10</v>
      </c>
      <c r="AU29" s="94">
        <v>4685</v>
      </c>
      <c r="AW29" s="94">
        <v>119652</v>
      </c>
      <c r="AY29" s="106"/>
      <c r="AZ29" s="106"/>
      <c r="BA29" s="107"/>
      <c r="BB29" s="107"/>
      <c r="BC29" s="107"/>
      <c r="BD29" s="107"/>
      <c r="BE29" s="107"/>
      <c r="BF29" s="107"/>
      <c r="BG29" s="106"/>
      <c r="BH29" s="106"/>
      <c r="BI29" s="106"/>
      <c r="BJ29" s="106"/>
    </row>
    <row r="30" spans="2:62" s="94" customFormat="1" ht="30" customHeight="1" x14ac:dyDescent="0.2">
      <c r="B30" s="424" t="s">
        <v>30</v>
      </c>
      <c r="C30" s="94">
        <v>4</v>
      </c>
      <c r="E30" s="94">
        <v>445</v>
      </c>
      <c r="G30" s="94">
        <v>5448</v>
      </c>
      <c r="I30" s="95">
        <v>5</v>
      </c>
      <c r="K30" s="94">
        <v>563</v>
      </c>
      <c r="M30" s="94">
        <v>7288</v>
      </c>
      <c r="O30" s="95">
        <v>1</v>
      </c>
      <c r="Q30" s="94">
        <v>280</v>
      </c>
      <c r="S30" s="94">
        <v>7232</v>
      </c>
      <c r="U30" s="94">
        <v>5</v>
      </c>
      <c r="W30" s="94">
        <v>982</v>
      </c>
      <c r="Y30" s="94">
        <v>42848</v>
      </c>
      <c r="AA30" s="94">
        <v>3</v>
      </c>
      <c r="AB30" s="95"/>
      <c r="AC30" s="94">
        <v>2599</v>
      </c>
      <c r="AD30" s="95"/>
      <c r="AE30" s="94">
        <v>37152</v>
      </c>
      <c r="AF30" s="95"/>
      <c r="AG30" s="94">
        <v>3</v>
      </c>
      <c r="AH30" s="95"/>
      <c r="AI30" s="94">
        <v>331</v>
      </c>
      <c r="AJ30" s="95"/>
      <c r="AK30" s="95">
        <v>2648</v>
      </c>
      <c r="AL30" s="95"/>
      <c r="AM30" s="94">
        <v>2</v>
      </c>
      <c r="AO30" s="94">
        <v>888</v>
      </c>
      <c r="AQ30" s="94">
        <v>62672</v>
      </c>
      <c r="AS30" s="94">
        <v>9</v>
      </c>
      <c r="AU30" s="94">
        <v>3876</v>
      </c>
      <c r="AW30" s="94">
        <v>210216</v>
      </c>
      <c r="AY30" s="106"/>
      <c r="AZ30" s="106"/>
      <c r="BA30" s="106"/>
      <c r="BB30" s="106"/>
      <c r="BC30" s="106"/>
      <c r="BD30" s="106"/>
      <c r="BE30" s="107"/>
      <c r="BF30" s="106"/>
      <c r="BG30" s="106"/>
      <c r="BH30" s="106"/>
      <c r="BI30" s="106"/>
      <c r="BJ30" s="106"/>
    </row>
    <row r="31" spans="2:62" s="94" customFormat="1" ht="30" customHeight="1" x14ac:dyDescent="0.2">
      <c r="B31" s="424" t="s">
        <v>31</v>
      </c>
      <c r="C31" s="94">
        <v>8</v>
      </c>
      <c r="D31" s="95"/>
      <c r="E31" s="94">
        <v>959</v>
      </c>
      <c r="F31" s="95"/>
      <c r="G31" s="94">
        <v>19968</v>
      </c>
      <c r="H31" s="95"/>
      <c r="I31" s="95">
        <v>12</v>
      </c>
      <c r="K31" s="94">
        <v>1121</v>
      </c>
      <c r="L31" s="95"/>
      <c r="M31" s="94">
        <v>34023</v>
      </c>
      <c r="O31" s="95">
        <v>1</v>
      </c>
      <c r="P31" s="95"/>
      <c r="Q31" s="94">
        <v>119</v>
      </c>
      <c r="R31" s="95"/>
      <c r="S31" s="94">
        <v>952</v>
      </c>
      <c r="T31" s="95"/>
      <c r="U31" s="94">
        <v>5</v>
      </c>
      <c r="W31" s="94">
        <v>1138</v>
      </c>
      <c r="Y31" s="95">
        <v>15234</v>
      </c>
      <c r="AA31" s="94">
        <v>2</v>
      </c>
      <c r="AB31" s="95"/>
      <c r="AC31" s="94">
        <v>957</v>
      </c>
      <c r="AD31" s="95"/>
      <c r="AE31" s="94">
        <v>50400</v>
      </c>
      <c r="AF31" s="95"/>
      <c r="AG31" s="94">
        <v>3</v>
      </c>
      <c r="AH31" s="95"/>
      <c r="AI31" s="94">
        <v>515</v>
      </c>
      <c r="AJ31" s="95"/>
      <c r="AK31" s="95">
        <v>14008</v>
      </c>
      <c r="AL31" s="95"/>
      <c r="AM31" s="94">
        <v>29</v>
      </c>
      <c r="AO31" s="94">
        <v>5542</v>
      </c>
      <c r="AQ31" s="95">
        <v>46968</v>
      </c>
      <c r="AS31" s="94">
        <v>6</v>
      </c>
      <c r="AU31" s="94">
        <v>937</v>
      </c>
      <c r="AW31" s="94">
        <v>32200</v>
      </c>
      <c r="AY31" s="106"/>
      <c r="AZ31" s="106"/>
      <c r="BA31" s="107"/>
      <c r="BB31" s="107"/>
      <c r="BC31" s="107"/>
      <c r="BD31" s="107"/>
      <c r="BE31" s="107"/>
      <c r="BF31" s="107"/>
      <c r="BG31" s="106"/>
      <c r="BH31" s="106"/>
      <c r="BI31" s="106"/>
      <c r="BJ31" s="106"/>
    </row>
    <row r="32" spans="2:62" s="94" customFormat="1" ht="30" customHeight="1" x14ac:dyDescent="0.2">
      <c r="B32" s="424" t="s">
        <v>32</v>
      </c>
      <c r="C32" s="94">
        <v>3</v>
      </c>
      <c r="E32" s="94">
        <v>464</v>
      </c>
      <c r="G32" s="94">
        <v>37944</v>
      </c>
      <c r="I32" s="94">
        <v>12</v>
      </c>
      <c r="K32" s="94">
        <v>2413</v>
      </c>
      <c r="M32" s="94">
        <v>123208</v>
      </c>
      <c r="O32" s="95" t="s">
        <v>8</v>
      </c>
      <c r="Q32" s="94" t="s">
        <v>8</v>
      </c>
      <c r="S32" s="95" t="s">
        <v>8</v>
      </c>
      <c r="U32" s="94">
        <v>5</v>
      </c>
      <c r="W32" s="94">
        <v>1863</v>
      </c>
      <c r="Y32" s="94">
        <v>45392</v>
      </c>
      <c r="AA32" s="94">
        <v>3</v>
      </c>
      <c r="AC32" s="94">
        <v>724</v>
      </c>
      <c r="AE32" s="94">
        <v>169424</v>
      </c>
      <c r="AG32" s="94">
        <v>11</v>
      </c>
      <c r="AH32" s="95"/>
      <c r="AI32" s="94">
        <v>2936</v>
      </c>
      <c r="AJ32" s="95"/>
      <c r="AK32" s="94">
        <v>50544</v>
      </c>
      <c r="AL32" s="95"/>
      <c r="AM32" s="94">
        <v>9</v>
      </c>
      <c r="AO32" s="94">
        <v>2108</v>
      </c>
      <c r="AQ32" s="94">
        <v>21424</v>
      </c>
      <c r="AS32" s="94">
        <v>3</v>
      </c>
      <c r="AU32" s="94">
        <v>89</v>
      </c>
      <c r="AW32" s="94">
        <v>712</v>
      </c>
      <c r="AY32" s="106"/>
      <c r="AZ32" s="106"/>
      <c r="BA32" s="106"/>
      <c r="BB32" s="106"/>
      <c r="BC32" s="106"/>
      <c r="BD32" s="106"/>
      <c r="BE32" s="106"/>
      <c r="BF32" s="106"/>
      <c r="BG32" s="106"/>
      <c r="BH32" s="106"/>
      <c r="BI32" s="106"/>
      <c r="BJ32" s="106"/>
    </row>
    <row r="33" spans="2:62" s="94" customFormat="1" ht="30" customHeight="1" x14ac:dyDescent="0.2">
      <c r="B33" s="424" t="s">
        <v>33</v>
      </c>
      <c r="C33" s="94">
        <v>10</v>
      </c>
      <c r="D33" s="95"/>
      <c r="E33" s="94">
        <v>9592</v>
      </c>
      <c r="G33" s="94">
        <v>100772</v>
      </c>
      <c r="I33" s="94">
        <v>2</v>
      </c>
      <c r="K33" s="94">
        <v>157</v>
      </c>
      <c r="L33" s="95"/>
      <c r="M33" s="94">
        <v>123932</v>
      </c>
      <c r="O33" s="95" t="s">
        <v>8</v>
      </c>
      <c r="P33" s="95"/>
      <c r="Q33" s="94" t="s">
        <v>8</v>
      </c>
      <c r="R33" s="95"/>
      <c r="S33" s="95" t="s">
        <v>8</v>
      </c>
      <c r="T33" s="95"/>
      <c r="U33" s="94">
        <v>2</v>
      </c>
      <c r="W33" s="94">
        <v>304</v>
      </c>
      <c r="Y33" s="94">
        <v>7600</v>
      </c>
      <c r="AA33" s="94">
        <v>9</v>
      </c>
      <c r="AC33" s="94">
        <v>1776</v>
      </c>
      <c r="AE33" s="94">
        <v>139920</v>
      </c>
      <c r="AG33" s="94">
        <v>7</v>
      </c>
      <c r="AH33" s="95"/>
      <c r="AI33" s="94">
        <v>9922</v>
      </c>
      <c r="AJ33" s="95"/>
      <c r="AK33" s="94">
        <v>250812</v>
      </c>
      <c r="AL33" s="95"/>
      <c r="AM33" s="94">
        <v>3</v>
      </c>
      <c r="AO33" s="94">
        <v>868</v>
      </c>
      <c r="AQ33" s="95">
        <v>13040</v>
      </c>
      <c r="AS33" s="94">
        <v>8</v>
      </c>
      <c r="AU33" s="94">
        <v>1080</v>
      </c>
      <c r="AW33" s="94">
        <v>9328</v>
      </c>
      <c r="AY33" s="106"/>
      <c r="AZ33" s="106"/>
      <c r="BA33" s="107"/>
      <c r="BB33" s="106"/>
      <c r="BC33" s="106"/>
      <c r="BD33" s="106"/>
      <c r="BE33" s="106"/>
      <c r="BF33" s="107"/>
      <c r="BG33" s="106"/>
      <c r="BH33" s="106"/>
      <c r="BI33" s="106"/>
      <c r="BJ33" s="106"/>
    </row>
    <row r="34" spans="2:62" s="94" customFormat="1" ht="30" customHeight="1" x14ac:dyDescent="0.2">
      <c r="B34" s="424" t="s">
        <v>34</v>
      </c>
      <c r="C34" s="94">
        <v>4</v>
      </c>
      <c r="D34" s="95"/>
      <c r="E34" s="94">
        <v>259</v>
      </c>
      <c r="F34" s="95"/>
      <c r="G34" s="94">
        <v>6672</v>
      </c>
      <c r="H34" s="95"/>
      <c r="I34" s="95">
        <v>2</v>
      </c>
      <c r="K34" s="94">
        <v>127</v>
      </c>
      <c r="L34" s="95"/>
      <c r="M34" s="94">
        <v>1016</v>
      </c>
      <c r="O34" s="95">
        <v>3</v>
      </c>
      <c r="P34" s="95"/>
      <c r="Q34" s="94">
        <v>283</v>
      </c>
      <c r="R34" s="95"/>
      <c r="S34" s="94">
        <v>2720</v>
      </c>
      <c r="T34" s="95"/>
      <c r="U34" s="94">
        <v>2</v>
      </c>
      <c r="W34" s="94">
        <v>218</v>
      </c>
      <c r="Y34" s="95">
        <v>9016</v>
      </c>
      <c r="AA34" s="94">
        <v>8</v>
      </c>
      <c r="AB34" s="95"/>
      <c r="AC34" s="94">
        <v>2374</v>
      </c>
      <c r="AD34" s="95"/>
      <c r="AE34" s="94">
        <v>97552</v>
      </c>
      <c r="AF34" s="95"/>
      <c r="AG34" s="94">
        <v>4</v>
      </c>
      <c r="AH34" s="95"/>
      <c r="AI34" s="94">
        <v>458</v>
      </c>
      <c r="AJ34" s="95"/>
      <c r="AK34" s="95">
        <v>8656</v>
      </c>
      <c r="AL34" s="95"/>
      <c r="AM34" s="94">
        <v>5</v>
      </c>
      <c r="AO34" s="94">
        <v>869</v>
      </c>
      <c r="AQ34" s="95">
        <v>66464</v>
      </c>
      <c r="AS34" s="94">
        <v>4</v>
      </c>
      <c r="AU34" s="94">
        <v>177</v>
      </c>
      <c r="AW34" s="94">
        <v>1792</v>
      </c>
      <c r="AY34" s="106"/>
      <c r="AZ34" s="106"/>
      <c r="BA34" s="107"/>
      <c r="BB34" s="107"/>
      <c r="BC34" s="107"/>
      <c r="BD34" s="107"/>
      <c r="BE34" s="107"/>
      <c r="BF34" s="107"/>
      <c r="BG34" s="106"/>
      <c r="BH34" s="106"/>
      <c r="BI34" s="106"/>
      <c r="BJ34" s="106"/>
    </row>
    <row r="35" spans="2:62" s="94" customFormat="1" ht="30" customHeight="1" x14ac:dyDescent="0.2">
      <c r="B35" s="424" t="s">
        <v>35</v>
      </c>
      <c r="C35" s="94">
        <v>4</v>
      </c>
      <c r="D35" s="95"/>
      <c r="E35" s="94">
        <v>781</v>
      </c>
      <c r="F35" s="95"/>
      <c r="G35" s="94">
        <v>62552</v>
      </c>
      <c r="H35" s="95"/>
      <c r="I35" s="95">
        <v>4</v>
      </c>
      <c r="K35" s="94">
        <v>471</v>
      </c>
      <c r="L35" s="95"/>
      <c r="M35" s="94">
        <v>2980</v>
      </c>
      <c r="O35" s="95">
        <v>10</v>
      </c>
      <c r="P35" s="95"/>
      <c r="Q35" s="94">
        <v>1171</v>
      </c>
      <c r="R35" s="95"/>
      <c r="S35" s="94">
        <v>95704</v>
      </c>
      <c r="T35" s="95"/>
      <c r="U35" s="94">
        <v>4</v>
      </c>
      <c r="W35" s="94">
        <v>2934</v>
      </c>
      <c r="Y35" s="95">
        <v>98696</v>
      </c>
      <c r="AA35" s="94">
        <v>3</v>
      </c>
      <c r="AB35" s="95"/>
      <c r="AC35" s="94">
        <v>1115</v>
      </c>
      <c r="AD35" s="95"/>
      <c r="AE35" s="94">
        <v>37112</v>
      </c>
      <c r="AF35" s="95"/>
      <c r="AG35" s="94">
        <v>6</v>
      </c>
      <c r="AH35" s="95"/>
      <c r="AI35" s="94">
        <v>1365</v>
      </c>
      <c r="AJ35" s="95"/>
      <c r="AK35" s="95">
        <v>25248</v>
      </c>
      <c r="AL35" s="95"/>
      <c r="AM35" s="94">
        <v>7</v>
      </c>
      <c r="AO35" s="94">
        <v>1274</v>
      </c>
      <c r="AQ35" s="95">
        <v>10192</v>
      </c>
      <c r="AS35" s="94">
        <v>3</v>
      </c>
      <c r="AU35" s="94">
        <v>213</v>
      </c>
      <c r="AW35" s="94">
        <v>10288</v>
      </c>
      <c r="AY35" s="106"/>
      <c r="AZ35" s="106"/>
      <c r="BA35" s="107"/>
      <c r="BB35" s="107"/>
      <c r="BC35" s="107"/>
      <c r="BD35" s="107"/>
      <c r="BE35" s="107"/>
      <c r="BF35" s="107"/>
      <c r="BG35" s="106"/>
      <c r="BH35" s="106"/>
      <c r="BI35" s="106"/>
      <c r="BJ35" s="106"/>
    </row>
    <row r="36" spans="2:62" s="94" customFormat="1" ht="30" customHeight="1" x14ac:dyDescent="0.2">
      <c r="B36" s="424" t="s">
        <v>36</v>
      </c>
      <c r="C36" s="94">
        <v>6</v>
      </c>
      <c r="D36" s="95"/>
      <c r="E36" s="94">
        <v>1120</v>
      </c>
      <c r="F36" s="95"/>
      <c r="G36" s="94">
        <v>18952</v>
      </c>
      <c r="H36" s="95"/>
      <c r="I36" s="94">
        <v>3</v>
      </c>
      <c r="K36" s="94">
        <v>2075</v>
      </c>
      <c r="L36" s="95"/>
      <c r="M36" s="94">
        <v>46120</v>
      </c>
      <c r="O36" s="94">
        <v>3</v>
      </c>
      <c r="P36" s="95"/>
      <c r="Q36" s="94">
        <v>274</v>
      </c>
      <c r="R36" s="95"/>
      <c r="S36" s="94">
        <v>30423</v>
      </c>
      <c r="T36" s="95"/>
      <c r="U36" s="94">
        <v>2</v>
      </c>
      <c r="W36" s="94">
        <v>115</v>
      </c>
      <c r="Y36" s="95">
        <v>920</v>
      </c>
      <c r="AA36" s="94">
        <v>4</v>
      </c>
      <c r="AC36" s="94">
        <v>1919</v>
      </c>
      <c r="AE36" s="94">
        <v>58912</v>
      </c>
      <c r="AG36" s="94">
        <v>11</v>
      </c>
      <c r="AI36" s="94">
        <v>1592</v>
      </c>
      <c r="AK36" s="95">
        <v>14582</v>
      </c>
      <c r="AM36" s="94">
        <v>9</v>
      </c>
      <c r="AO36" s="94">
        <v>3675</v>
      </c>
      <c r="AQ36" s="95">
        <v>56656</v>
      </c>
      <c r="AS36" s="94">
        <v>4</v>
      </c>
      <c r="AU36" s="94">
        <v>599</v>
      </c>
      <c r="AW36" s="94">
        <v>25864</v>
      </c>
      <c r="AY36" s="106"/>
      <c r="AZ36" s="106"/>
      <c r="BA36" s="107"/>
      <c r="BB36" s="107"/>
      <c r="BC36" s="107"/>
      <c r="BD36" s="107"/>
      <c r="BE36" s="107"/>
      <c r="BF36" s="107"/>
      <c r="BG36" s="106"/>
      <c r="BH36" s="106"/>
      <c r="BI36" s="106"/>
      <c r="BJ36" s="106"/>
    </row>
    <row r="37" spans="2:62" s="104" customFormat="1" ht="30" customHeight="1" x14ac:dyDescent="0.2">
      <c r="B37" s="415" t="s">
        <v>6</v>
      </c>
      <c r="C37" s="416">
        <f>SUM(C25:C36)</f>
        <v>58</v>
      </c>
      <c r="D37" s="416"/>
      <c r="E37" s="416">
        <f>SUM(E25:E36)</f>
        <v>17333</v>
      </c>
      <c r="F37" s="416"/>
      <c r="G37" s="416">
        <f>SUM(G25:G36)</f>
        <v>323168</v>
      </c>
      <c r="H37" s="417"/>
      <c r="I37" s="416">
        <f>SUM(I25:I36)</f>
        <v>71</v>
      </c>
      <c r="J37" s="418"/>
      <c r="K37" s="416">
        <f>SUM(K25:K36)</f>
        <v>52080</v>
      </c>
      <c r="L37" s="416"/>
      <c r="M37" s="416">
        <f>SUM(M25:M36)</f>
        <v>724260</v>
      </c>
      <c r="N37" s="417"/>
      <c r="O37" s="416">
        <f>SUM(O25:O36)</f>
        <v>37</v>
      </c>
      <c r="P37" s="416"/>
      <c r="Q37" s="416">
        <f>SUM(Q25:Q36)</f>
        <v>5280</v>
      </c>
      <c r="R37" s="416"/>
      <c r="S37" s="416">
        <f>SUM(S25:S36)</f>
        <v>181691</v>
      </c>
      <c r="T37" s="417"/>
      <c r="U37" s="416">
        <f>SUM(U25:U36)</f>
        <v>40</v>
      </c>
      <c r="V37" s="416"/>
      <c r="W37" s="416">
        <f>SUM(W25:W36)</f>
        <v>11050</v>
      </c>
      <c r="X37" s="416"/>
      <c r="Y37" s="416">
        <f>SUM(Y25:Y36)</f>
        <v>488930</v>
      </c>
      <c r="Z37" s="417"/>
      <c r="AA37" s="416">
        <f>SUM(AA25:AA36)</f>
        <v>64</v>
      </c>
      <c r="AB37" s="416"/>
      <c r="AC37" s="416">
        <f>SUM(AC25:AC36)</f>
        <v>22925</v>
      </c>
      <c r="AD37" s="416"/>
      <c r="AE37" s="416">
        <f>SUM(AE25:AE36)</f>
        <v>912648</v>
      </c>
      <c r="AF37" s="417"/>
      <c r="AG37" s="416">
        <f>SUM(AG25:AG36)</f>
        <v>68</v>
      </c>
      <c r="AH37" s="416"/>
      <c r="AI37" s="416">
        <f>SUM(AI25:AI36)</f>
        <v>37323</v>
      </c>
      <c r="AJ37" s="416"/>
      <c r="AK37" s="416">
        <f>SUM(AK25:AK36)</f>
        <v>881362</v>
      </c>
      <c r="AL37" s="417"/>
      <c r="AM37" s="416">
        <f>SUM(AM25:AM36)</f>
        <v>107</v>
      </c>
      <c r="AN37" s="416"/>
      <c r="AO37" s="416">
        <f>SUM(AO25:AO36)</f>
        <v>29273</v>
      </c>
      <c r="AP37" s="416"/>
      <c r="AQ37" s="416">
        <f>SUM(AQ25:AQ36)</f>
        <v>582328</v>
      </c>
      <c r="AR37" s="417"/>
      <c r="AS37" s="416">
        <f>SUM(AS25:AS36)</f>
        <v>65</v>
      </c>
      <c r="AT37" s="416"/>
      <c r="AU37" s="416">
        <f>SUM(AU25:AU36)</f>
        <v>19022</v>
      </c>
      <c r="AV37" s="416"/>
      <c r="AW37" s="416">
        <f>SUM(AW25:AW36)</f>
        <v>478738</v>
      </c>
      <c r="AX37" s="416"/>
      <c r="BA37" s="108"/>
      <c r="BB37" s="108"/>
      <c r="BC37" s="108"/>
      <c r="BD37" s="108"/>
      <c r="BE37" s="108"/>
      <c r="BF37" s="108"/>
      <c r="BG37" s="108"/>
      <c r="BH37" s="108"/>
      <c r="BI37" s="108"/>
      <c r="BJ37" s="108"/>
    </row>
    <row r="38" spans="2:62" s="104" customFormat="1" ht="30" customHeight="1" x14ac:dyDescent="0.2">
      <c r="B38" s="113"/>
      <c r="C38" s="118"/>
      <c r="D38" s="118"/>
      <c r="E38" s="118"/>
      <c r="F38" s="118"/>
      <c r="G38" s="118"/>
      <c r="H38" s="118"/>
      <c r="I38" s="118"/>
      <c r="J38" s="120"/>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BA38" s="108"/>
      <c r="BB38" s="108"/>
      <c r="BC38" s="108"/>
      <c r="BD38" s="108"/>
      <c r="BE38" s="108"/>
      <c r="BF38" s="108"/>
      <c r="BG38" s="108"/>
      <c r="BH38" s="108"/>
      <c r="BI38" s="108"/>
      <c r="BJ38" s="108"/>
    </row>
    <row r="39" spans="2:62" s="104" customFormat="1" ht="30" customHeight="1" x14ac:dyDescent="0.2">
      <c r="B39" s="771" t="s">
        <v>24</v>
      </c>
      <c r="C39" s="778" t="s">
        <v>226</v>
      </c>
      <c r="D39" s="778"/>
      <c r="E39" s="778"/>
      <c r="F39" s="778"/>
      <c r="G39" s="778"/>
      <c r="H39" s="778"/>
      <c r="I39" s="778"/>
      <c r="J39" s="778"/>
      <c r="K39" s="778"/>
      <c r="L39" s="778"/>
      <c r="M39" s="778"/>
      <c r="N39" s="778"/>
      <c r="O39" s="778"/>
      <c r="P39" s="778"/>
      <c r="Q39" s="778"/>
      <c r="R39" s="778"/>
      <c r="S39" s="778"/>
      <c r="T39" s="778"/>
      <c r="U39" s="778"/>
      <c r="V39" s="778"/>
      <c r="W39" s="778"/>
      <c r="X39" s="778"/>
      <c r="Y39" s="778"/>
      <c r="Z39" s="778"/>
      <c r="AA39" s="778"/>
      <c r="AB39" s="778"/>
      <c r="AC39" s="778"/>
      <c r="AD39" s="778"/>
      <c r="AE39" s="778"/>
      <c r="AF39" s="778"/>
      <c r="AG39" s="778"/>
      <c r="AH39" s="778"/>
      <c r="AI39" s="778"/>
      <c r="AJ39" s="778"/>
      <c r="AK39" s="778"/>
      <c r="AL39" s="778"/>
      <c r="AM39" s="778"/>
      <c r="AN39" s="778"/>
      <c r="AO39" s="778"/>
      <c r="AP39" s="778"/>
      <c r="AQ39" s="778"/>
      <c r="AR39" s="778"/>
      <c r="AS39" s="778"/>
      <c r="AT39" s="778"/>
      <c r="AU39" s="778"/>
      <c r="AV39" s="778"/>
      <c r="AW39" s="778"/>
      <c r="AX39" s="778"/>
      <c r="AY39" s="112"/>
      <c r="AZ39" s="112"/>
      <c r="BA39" s="112"/>
      <c r="BB39" s="112"/>
      <c r="BC39" s="112"/>
      <c r="BD39" s="112"/>
      <c r="BE39" s="112"/>
      <c r="BF39" s="112"/>
      <c r="BG39" s="112"/>
      <c r="BH39" s="112"/>
      <c r="BI39" s="112"/>
      <c r="BJ39" s="112"/>
    </row>
    <row r="40" spans="2:62" s="104" customFormat="1" ht="30" customHeight="1" x14ac:dyDescent="0.2">
      <c r="B40" s="771"/>
      <c r="C40" s="764">
        <v>2006</v>
      </c>
      <c r="D40" s="764"/>
      <c r="E40" s="764"/>
      <c r="F40" s="764"/>
      <c r="G40" s="764"/>
      <c r="H40" s="764"/>
      <c r="I40" s="764">
        <v>2007</v>
      </c>
      <c r="J40" s="764"/>
      <c r="K40" s="764"/>
      <c r="L40" s="764"/>
      <c r="M40" s="764"/>
      <c r="N40" s="764"/>
      <c r="O40" s="764">
        <v>2008</v>
      </c>
      <c r="P40" s="764"/>
      <c r="Q40" s="764"/>
      <c r="R40" s="764"/>
      <c r="S40" s="764"/>
      <c r="T40" s="764"/>
      <c r="U40" s="764">
        <v>2009</v>
      </c>
      <c r="V40" s="764"/>
      <c r="W40" s="764"/>
      <c r="X40" s="764"/>
      <c r="Y40" s="764"/>
      <c r="Z40" s="764"/>
      <c r="AA40" s="764">
        <v>2010</v>
      </c>
      <c r="AB40" s="764"/>
      <c r="AC40" s="764"/>
      <c r="AD40" s="764"/>
      <c r="AE40" s="764"/>
      <c r="AF40" s="764"/>
      <c r="AG40" s="764">
        <v>2011</v>
      </c>
      <c r="AH40" s="764"/>
      <c r="AI40" s="764"/>
      <c r="AJ40" s="764"/>
      <c r="AK40" s="764"/>
      <c r="AL40" s="764"/>
      <c r="AM40" s="764">
        <v>2012</v>
      </c>
      <c r="AN40" s="764"/>
      <c r="AO40" s="764"/>
      <c r="AP40" s="764"/>
      <c r="AQ40" s="764"/>
      <c r="AR40" s="764"/>
      <c r="AS40" s="764">
        <v>2013</v>
      </c>
      <c r="AT40" s="764"/>
      <c r="AU40" s="764"/>
      <c r="AV40" s="764"/>
      <c r="AW40" s="764"/>
      <c r="AX40" s="764"/>
      <c r="AY40" s="112"/>
      <c r="AZ40" s="112"/>
      <c r="BA40" s="112"/>
      <c r="BB40" s="112"/>
      <c r="BC40" s="112"/>
      <c r="BD40" s="112"/>
      <c r="BE40" s="112"/>
      <c r="BF40" s="112"/>
      <c r="BG40" s="112"/>
      <c r="BH40" s="112"/>
      <c r="BI40" s="112"/>
      <c r="BJ40" s="112"/>
    </row>
    <row r="41" spans="2:62" s="104" customFormat="1" ht="30" customHeight="1" x14ac:dyDescent="0.2">
      <c r="B41" s="771"/>
      <c r="C41" s="766" t="s">
        <v>176</v>
      </c>
      <c r="D41" s="767"/>
      <c r="E41" s="768" t="s">
        <v>210</v>
      </c>
      <c r="F41" s="767"/>
      <c r="G41" s="768" t="s">
        <v>211</v>
      </c>
      <c r="H41" s="766"/>
      <c r="I41" s="766" t="s">
        <v>176</v>
      </c>
      <c r="J41" s="767"/>
      <c r="K41" s="768" t="s">
        <v>210</v>
      </c>
      <c r="L41" s="767"/>
      <c r="M41" s="768" t="s">
        <v>211</v>
      </c>
      <c r="N41" s="766"/>
      <c r="O41" s="766" t="s">
        <v>176</v>
      </c>
      <c r="P41" s="767"/>
      <c r="Q41" s="768" t="s">
        <v>210</v>
      </c>
      <c r="R41" s="767"/>
      <c r="S41" s="768" t="s">
        <v>211</v>
      </c>
      <c r="T41" s="766"/>
      <c r="U41" s="766" t="s">
        <v>176</v>
      </c>
      <c r="V41" s="767"/>
      <c r="W41" s="768" t="s">
        <v>210</v>
      </c>
      <c r="X41" s="767"/>
      <c r="Y41" s="768" t="s">
        <v>211</v>
      </c>
      <c r="Z41" s="766"/>
      <c r="AA41" s="766" t="s">
        <v>176</v>
      </c>
      <c r="AB41" s="767"/>
      <c r="AC41" s="768" t="s">
        <v>210</v>
      </c>
      <c r="AD41" s="767"/>
      <c r="AE41" s="768" t="s">
        <v>211</v>
      </c>
      <c r="AF41" s="766"/>
      <c r="AG41" s="766" t="s">
        <v>176</v>
      </c>
      <c r="AH41" s="767"/>
      <c r="AI41" s="768" t="s">
        <v>210</v>
      </c>
      <c r="AJ41" s="767"/>
      <c r="AK41" s="768" t="s">
        <v>211</v>
      </c>
      <c r="AL41" s="766"/>
      <c r="AM41" s="766" t="s">
        <v>176</v>
      </c>
      <c r="AN41" s="767"/>
      <c r="AO41" s="768" t="s">
        <v>210</v>
      </c>
      <c r="AP41" s="767"/>
      <c r="AQ41" s="768" t="s">
        <v>211</v>
      </c>
      <c r="AR41" s="766"/>
      <c r="AS41" s="766" t="s">
        <v>176</v>
      </c>
      <c r="AT41" s="767"/>
      <c r="AU41" s="768" t="s">
        <v>210</v>
      </c>
      <c r="AV41" s="767"/>
      <c r="AW41" s="768" t="s">
        <v>211</v>
      </c>
      <c r="AX41" s="766"/>
      <c r="AY41" s="105"/>
      <c r="AZ41" s="105"/>
      <c r="BA41" s="105"/>
      <c r="BB41" s="105"/>
      <c r="BC41" s="105"/>
      <c r="BD41" s="105"/>
      <c r="BE41" s="105"/>
      <c r="BF41" s="105"/>
      <c r="BG41" s="105"/>
    </row>
    <row r="42" spans="2:62" s="94" customFormat="1" ht="30" customHeight="1" x14ac:dyDescent="0.2">
      <c r="B42" s="424" t="s">
        <v>25</v>
      </c>
      <c r="C42" s="94">
        <v>8</v>
      </c>
      <c r="E42" s="94">
        <v>2617</v>
      </c>
      <c r="G42" s="94">
        <v>75744</v>
      </c>
      <c r="I42" s="94">
        <v>2</v>
      </c>
      <c r="K42" s="94">
        <v>500</v>
      </c>
      <c r="M42" s="94">
        <v>4248</v>
      </c>
      <c r="O42" s="94">
        <v>3</v>
      </c>
      <c r="Q42" s="94">
        <v>875</v>
      </c>
      <c r="S42" s="94">
        <v>16080</v>
      </c>
      <c r="U42" s="94">
        <v>2</v>
      </c>
      <c r="W42" s="94">
        <v>1950</v>
      </c>
      <c r="Y42" s="94">
        <v>202800</v>
      </c>
      <c r="AA42" s="94">
        <v>5</v>
      </c>
      <c r="AC42" s="94">
        <v>776</v>
      </c>
      <c r="AE42" s="94">
        <v>20048</v>
      </c>
      <c r="AG42" s="94">
        <v>3</v>
      </c>
      <c r="AI42" s="94">
        <v>1917</v>
      </c>
      <c r="AK42" s="94">
        <v>57120</v>
      </c>
      <c r="AM42" s="94">
        <v>4</v>
      </c>
      <c r="AO42" s="83">
        <v>672</v>
      </c>
      <c r="AQ42" s="94">
        <v>31656</v>
      </c>
      <c r="AS42" s="94">
        <v>3</v>
      </c>
      <c r="AU42" s="83">
        <v>202</v>
      </c>
      <c r="AW42" s="94">
        <v>2458</v>
      </c>
      <c r="BB42" s="95"/>
    </row>
    <row r="43" spans="2:62" s="94" customFormat="1" ht="30" customHeight="1" x14ac:dyDescent="0.2">
      <c r="B43" s="424" t="s">
        <v>26</v>
      </c>
      <c r="C43" s="94">
        <v>7</v>
      </c>
      <c r="E43" s="94">
        <v>2855</v>
      </c>
      <c r="G43" s="94">
        <v>24128</v>
      </c>
      <c r="I43" s="94">
        <v>5</v>
      </c>
      <c r="K43" s="94">
        <v>351</v>
      </c>
      <c r="M43" s="94">
        <v>2808</v>
      </c>
      <c r="O43" s="94">
        <v>9</v>
      </c>
      <c r="Q43" s="94">
        <v>3222</v>
      </c>
      <c r="S43" s="94">
        <v>62128</v>
      </c>
      <c r="U43" s="94">
        <v>5</v>
      </c>
      <c r="W43" s="94">
        <v>3603</v>
      </c>
      <c r="Y43" s="94">
        <v>259328</v>
      </c>
      <c r="Z43" s="95"/>
      <c r="AA43" s="94">
        <v>11</v>
      </c>
      <c r="AC43" s="94">
        <v>4888</v>
      </c>
      <c r="AE43" s="94">
        <v>308288</v>
      </c>
      <c r="AG43" s="94">
        <v>8</v>
      </c>
      <c r="AI43" s="94">
        <v>1631</v>
      </c>
      <c r="AK43" s="94">
        <v>95584</v>
      </c>
      <c r="AM43" s="94">
        <v>5</v>
      </c>
      <c r="AO43" s="83">
        <v>717</v>
      </c>
      <c r="AQ43" s="94">
        <v>114316</v>
      </c>
      <c r="AS43" s="94">
        <v>2</v>
      </c>
      <c r="AU43" s="83">
        <v>876</v>
      </c>
      <c r="AW43" s="94">
        <v>50080</v>
      </c>
      <c r="AY43" s="95"/>
      <c r="BA43" s="95"/>
      <c r="BB43" s="95"/>
    </row>
    <row r="44" spans="2:62" s="94" customFormat="1" ht="30" customHeight="1" x14ac:dyDescent="0.2">
      <c r="B44" s="424" t="s">
        <v>27</v>
      </c>
      <c r="C44" s="94">
        <v>5</v>
      </c>
      <c r="E44" s="94">
        <v>3299</v>
      </c>
      <c r="G44" s="94">
        <v>23862</v>
      </c>
      <c r="I44" s="94">
        <v>3</v>
      </c>
      <c r="K44" s="94">
        <v>1897</v>
      </c>
      <c r="M44" s="94">
        <v>15176</v>
      </c>
      <c r="O44" s="94">
        <v>15</v>
      </c>
      <c r="Q44" s="94">
        <v>6188</v>
      </c>
      <c r="S44" s="94">
        <v>121536</v>
      </c>
      <c r="U44" s="94">
        <v>11</v>
      </c>
      <c r="W44" s="94">
        <v>6870</v>
      </c>
      <c r="Y44" s="94">
        <v>192032</v>
      </c>
      <c r="AA44" s="94">
        <v>13</v>
      </c>
      <c r="AC44" s="94">
        <v>5144</v>
      </c>
      <c r="AE44" s="94">
        <v>186376</v>
      </c>
      <c r="AG44" s="94">
        <v>15</v>
      </c>
      <c r="AI44" s="94">
        <v>3935</v>
      </c>
      <c r="AK44" s="94">
        <v>120384</v>
      </c>
      <c r="AM44" s="94">
        <v>12</v>
      </c>
      <c r="AO44" s="83">
        <v>1720</v>
      </c>
      <c r="AQ44" s="94">
        <v>35954</v>
      </c>
      <c r="AS44" s="94">
        <v>8</v>
      </c>
      <c r="AU44" s="83">
        <v>2981</v>
      </c>
      <c r="AW44" s="94">
        <v>56896</v>
      </c>
    </row>
    <row r="45" spans="2:62" s="94" customFormat="1" ht="30" customHeight="1" x14ac:dyDescent="0.2">
      <c r="B45" s="424" t="s">
        <v>28</v>
      </c>
      <c r="C45" s="94">
        <v>6</v>
      </c>
      <c r="E45" s="94">
        <v>359</v>
      </c>
      <c r="G45" s="94">
        <v>2872</v>
      </c>
      <c r="I45" s="94">
        <v>12</v>
      </c>
      <c r="K45" s="94">
        <v>14525</v>
      </c>
      <c r="M45" s="94">
        <v>280464</v>
      </c>
      <c r="O45" s="94">
        <v>8</v>
      </c>
      <c r="Q45" s="94">
        <v>5016</v>
      </c>
      <c r="S45" s="94">
        <v>360984</v>
      </c>
      <c r="T45" s="95"/>
      <c r="U45" s="94">
        <v>16</v>
      </c>
      <c r="W45" s="94">
        <v>3186</v>
      </c>
      <c r="Y45" s="94">
        <v>83968</v>
      </c>
      <c r="AA45" s="95">
        <v>10</v>
      </c>
      <c r="AC45" s="94">
        <v>4208</v>
      </c>
      <c r="AE45" s="94">
        <v>146204</v>
      </c>
      <c r="AG45" s="94">
        <v>8</v>
      </c>
      <c r="AI45" s="94">
        <v>4624</v>
      </c>
      <c r="AK45" s="94">
        <v>363008</v>
      </c>
      <c r="AM45" s="94">
        <v>16</v>
      </c>
      <c r="AO45" s="83">
        <v>4791</v>
      </c>
      <c r="AQ45" s="94">
        <v>190608</v>
      </c>
      <c r="AS45" s="94">
        <v>14</v>
      </c>
      <c r="AU45" s="83">
        <v>4752</v>
      </c>
      <c r="AW45" s="94">
        <v>131872</v>
      </c>
    </row>
    <row r="46" spans="2:62" s="94" customFormat="1" ht="30" customHeight="1" x14ac:dyDescent="0.2">
      <c r="B46" s="424" t="s">
        <v>29</v>
      </c>
      <c r="C46" s="94">
        <v>5</v>
      </c>
      <c r="E46" s="94">
        <v>401</v>
      </c>
      <c r="G46" s="94">
        <v>4938</v>
      </c>
      <c r="I46" s="94">
        <v>6</v>
      </c>
      <c r="K46" s="94">
        <v>2864</v>
      </c>
      <c r="M46" s="94">
        <v>277448</v>
      </c>
      <c r="O46" s="94">
        <v>3</v>
      </c>
      <c r="Q46" s="94">
        <v>702</v>
      </c>
      <c r="S46" s="94">
        <v>262496</v>
      </c>
      <c r="U46" s="94">
        <v>14</v>
      </c>
      <c r="W46" s="94">
        <v>2357</v>
      </c>
      <c r="Y46" s="94">
        <v>114112</v>
      </c>
      <c r="Z46" s="95"/>
      <c r="AA46" s="94">
        <v>5</v>
      </c>
      <c r="AC46" s="94">
        <v>2677</v>
      </c>
      <c r="AE46" s="94">
        <v>196856</v>
      </c>
      <c r="AG46" s="94">
        <v>8</v>
      </c>
      <c r="AI46" s="94">
        <v>2989</v>
      </c>
      <c r="AK46" s="94">
        <v>57560</v>
      </c>
      <c r="AM46" s="94">
        <v>15</v>
      </c>
      <c r="AO46" s="83">
        <v>4087</v>
      </c>
      <c r="AQ46" s="94">
        <v>292984</v>
      </c>
      <c r="AS46" s="94">
        <v>4</v>
      </c>
      <c r="AU46" s="83">
        <v>615</v>
      </c>
      <c r="AW46" s="94">
        <v>209016</v>
      </c>
      <c r="AY46" s="95"/>
      <c r="BA46" s="95"/>
      <c r="BB46" s="95"/>
    </row>
    <row r="47" spans="2:62" s="94" customFormat="1" ht="30" customHeight="1" x14ac:dyDescent="0.2">
      <c r="B47" s="424" t="s">
        <v>30</v>
      </c>
      <c r="C47" s="94">
        <v>7</v>
      </c>
      <c r="E47" s="94">
        <v>2686</v>
      </c>
      <c r="G47" s="94">
        <v>58384</v>
      </c>
      <c r="I47" s="94">
        <v>12</v>
      </c>
      <c r="K47" s="94">
        <v>3555</v>
      </c>
      <c r="M47" s="94">
        <v>506200</v>
      </c>
      <c r="O47" s="94">
        <v>6</v>
      </c>
      <c r="Q47" s="94">
        <v>10855</v>
      </c>
      <c r="S47" s="94">
        <v>153992</v>
      </c>
      <c r="U47" s="94">
        <v>5</v>
      </c>
      <c r="W47" s="94">
        <v>518</v>
      </c>
      <c r="Y47" s="94">
        <v>35032</v>
      </c>
      <c r="Z47" s="95"/>
      <c r="AA47" s="95">
        <v>9</v>
      </c>
      <c r="AC47" s="94">
        <v>4144</v>
      </c>
      <c r="AE47" s="94">
        <v>133368</v>
      </c>
      <c r="AG47" s="94">
        <v>5</v>
      </c>
      <c r="AI47" s="94">
        <v>338</v>
      </c>
      <c r="AK47" s="94">
        <v>14960</v>
      </c>
      <c r="AM47" s="94">
        <v>8</v>
      </c>
      <c r="AO47" s="83">
        <v>2465</v>
      </c>
      <c r="AQ47" s="94">
        <v>260400</v>
      </c>
      <c r="AS47" s="94">
        <v>2</v>
      </c>
      <c r="AU47" s="83">
        <v>731</v>
      </c>
      <c r="AW47" s="94">
        <v>84096</v>
      </c>
      <c r="BA47" s="95"/>
    </row>
    <row r="48" spans="2:62" s="94" customFormat="1" ht="30" customHeight="1" x14ac:dyDescent="0.2">
      <c r="B48" s="424" t="s">
        <v>31</v>
      </c>
      <c r="C48" s="94">
        <v>2</v>
      </c>
      <c r="E48" s="94">
        <v>145</v>
      </c>
      <c r="G48" s="94">
        <v>2312</v>
      </c>
      <c r="I48" s="94">
        <v>4</v>
      </c>
      <c r="K48" s="94">
        <v>2097</v>
      </c>
      <c r="M48" s="94">
        <v>164880</v>
      </c>
      <c r="O48" s="94">
        <v>6</v>
      </c>
      <c r="Q48" s="94">
        <v>3404</v>
      </c>
      <c r="S48" s="94">
        <v>397192</v>
      </c>
      <c r="U48" s="94">
        <v>13</v>
      </c>
      <c r="W48" s="94">
        <v>5885</v>
      </c>
      <c r="Y48" s="94">
        <v>119504</v>
      </c>
      <c r="Z48" s="95"/>
      <c r="AA48" s="95">
        <v>3</v>
      </c>
      <c r="AC48" s="94">
        <v>2119</v>
      </c>
      <c r="AE48" s="94">
        <v>136160</v>
      </c>
      <c r="AG48" s="95" t="s">
        <v>8</v>
      </c>
      <c r="AI48" s="95" t="s">
        <v>8</v>
      </c>
      <c r="AK48" s="94">
        <v>15312</v>
      </c>
      <c r="AM48" s="94">
        <v>2</v>
      </c>
      <c r="AO48" s="83">
        <v>491</v>
      </c>
      <c r="AQ48" s="94">
        <v>64440</v>
      </c>
      <c r="AS48" s="94">
        <v>7</v>
      </c>
      <c r="AU48" s="83">
        <v>2542</v>
      </c>
      <c r="AW48" s="94">
        <v>222688</v>
      </c>
      <c r="AY48" s="95"/>
      <c r="AZ48" s="112"/>
      <c r="BA48" s="95"/>
      <c r="BB48" s="95"/>
    </row>
    <row r="49" spans="2:286" s="94" customFormat="1" ht="30" customHeight="1" x14ac:dyDescent="0.2">
      <c r="B49" s="424" t="s">
        <v>32</v>
      </c>
      <c r="C49" s="94">
        <v>6</v>
      </c>
      <c r="E49" s="94">
        <v>960</v>
      </c>
      <c r="G49" s="94">
        <v>36392</v>
      </c>
      <c r="I49" s="94">
        <v>4</v>
      </c>
      <c r="K49" s="94">
        <v>373</v>
      </c>
      <c r="M49" s="94">
        <v>12720</v>
      </c>
      <c r="O49" s="94">
        <v>1</v>
      </c>
      <c r="Q49" s="94">
        <v>73</v>
      </c>
      <c r="S49" s="94">
        <v>2920</v>
      </c>
      <c r="T49" s="95"/>
      <c r="U49" s="94">
        <v>6</v>
      </c>
      <c r="W49" s="94">
        <v>1465</v>
      </c>
      <c r="Y49" s="94">
        <v>47424</v>
      </c>
      <c r="AA49" s="95">
        <v>2</v>
      </c>
      <c r="AC49" s="94">
        <v>163</v>
      </c>
      <c r="AE49" s="94">
        <v>3864</v>
      </c>
      <c r="AG49" s="94">
        <v>6</v>
      </c>
      <c r="AI49" s="94">
        <v>1709</v>
      </c>
      <c r="AK49" s="94">
        <v>26376</v>
      </c>
      <c r="AM49" s="94">
        <v>2</v>
      </c>
      <c r="AO49" s="83">
        <v>2757</v>
      </c>
      <c r="AQ49" s="94">
        <v>364508</v>
      </c>
      <c r="AS49" s="94">
        <v>12</v>
      </c>
      <c r="AU49" s="83">
        <v>3523</v>
      </c>
      <c r="AW49" s="94">
        <v>165712</v>
      </c>
    </row>
    <row r="50" spans="2:286" s="94" customFormat="1" ht="30" customHeight="1" x14ac:dyDescent="0.2">
      <c r="B50" s="424" t="s">
        <v>33</v>
      </c>
      <c r="C50" s="94">
        <v>7</v>
      </c>
      <c r="E50" s="94">
        <v>2335</v>
      </c>
      <c r="G50" s="94">
        <v>34000</v>
      </c>
      <c r="I50" s="94">
        <v>7</v>
      </c>
      <c r="K50" s="94">
        <v>1834</v>
      </c>
      <c r="M50" s="94">
        <v>102328</v>
      </c>
      <c r="O50" s="94">
        <v>2</v>
      </c>
      <c r="Q50" s="94">
        <v>380</v>
      </c>
      <c r="S50" s="94">
        <v>19680</v>
      </c>
      <c r="T50" s="95"/>
      <c r="U50" s="94">
        <v>8</v>
      </c>
      <c r="W50" s="94">
        <v>2593</v>
      </c>
      <c r="Y50" s="94">
        <v>63496</v>
      </c>
      <c r="AA50" s="95">
        <v>4</v>
      </c>
      <c r="AC50" s="94">
        <v>646</v>
      </c>
      <c r="AE50" s="94">
        <v>8104</v>
      </c>
      <c r="AG50" s="94">
        <v>6</v>
      </c>
      <c r="AI50" s="94">
        <v>3670</v>
      </c>
      <c r="AK50" s="94">
        <v>236296</v>
      </c>
      <c r="AM50" s="94">
        <v>3</v>
      </c>
      <c r="AO50" s="83">
        <v>175</v>
      </c>
      <c r="AQ50" s="94">
        <v>102542</v>
      </c>
      <c r="AS50" s="94">
        <v>10</v>
      </c>
      <c r="AU50" s="83">
        <v>2230</v>
      </c>
      <c r="AW50" s="94">
        <v>156272</v>
      </c>
      <c r="BB50" s="95"/>
    </row>
    <row r="51" spans="2:286" s="94" customFormat="1" ht="30" customHeight="1" x14ac:dyDescent="0.2">
      <c r="B51" s="424" t="s">
        <v>34</v>
      </c>
      <c r="C51" s="94">
        <v>6</v>
      </c>
      <c r="E51" s="94">
        <v>696</v>
      </c>
      <c r="G51" s="94">
        <v>33248</v>
      </c>
      <c r="I51" s="94">
        <v>5</v>
      </c>
      <c r="K51" s="94">
        <v>4496</v>
      </c>
      <c r="M51" s="94">
        <v>168016</v>
      </c>
      <c r="O51" s="94">
        <v>3</v>
      </c>
      <c r="Q51" s="94">
        <v>999</v>
      </c>
      <c r="S51" s="94">
        <v>37416</v>
      </c>
      <c r="U51" s="94">
        <v>4</v>
      </c>
      <c r="W51" s="94">
        <v>2568</v>
      </c>
      <c r="Y51" s="94">
        <v>136082</v>
      </c>
      <c r="Z51" s="95"/>
      <c r="AA51" s="95">
        <v>7</v>
      </c>
      <c r="AC51" s="94">
        <v>2898</v>
      </c>
      <c r="AE51" s="94">
        <v>80328</v>
      </c>
      <c r="AG51" s="94">
        <v>7</v>
      </c>
      <c r="AI51" s="94">
        <v>1199</v>
      </c>
      <c r="AK51" s="94">
        <v>245504</v>
      </c>
      <c r="AM51" s="94">
        <v>7</v>
      </c>
      <c r="AO51" s="83">
        <v>2252</v>
      </c>
      <c r="AQ51" s="94">
        <v>254896</v>
      </c>
      <c r="AS51" s="94">
        <v>7</v>
      </c>
      <c r="AU51" s="83">
        <v>1338</v>
      </c>
      <c r="AW51" s="94">
        <v>186736</v>
      </c>
      <c r="AY51" s="95"/>
      <c r="BA51" s="95"/>
      <c r="BB51" s="95"/>
    </row>
    <row r="52" spans="2:286" s="94" customFormat="1" ht="30" customHeight="1" x14ac:dyDescent="0.2">
      <c r="B52" s="424" t="s">
        <v>35</v>
      </c>
      <c r="C52" s="94">
        <v>6</v>
      </c>
      <c r="E52" s="94">
        <v>3161</v>
      </c>
      <c r="G52" s="94">
        <v>147408</v>
      </c>
      <c r="I52" s="94">
        <v>9</v>
      </c>
      <c r="K52" s="94">
        <v>15157</v>
      </c>
      <c r="M52" s="94">
        <v>532064</v>
      </c>
      <c r="O52" s="94">
        <v>3</v>
      </c>
      <c r="Q52" s="94">
        <v>1843</v>
      </c>
      <c r="S52" s="94">
        <v>78840</v>
      </c>
      <c r="U52" s="94">
        <v>7</v>
      </c>
      <c r="W52" s="94">
        <v>2040</v>
      </c>
      <c r="Y52" s="94">
        <v>129720</v>
      </c>
      <c r="Z52" s="95"/>
      <c r="AA52" s="95">
        <v>8</v>
      </c>
      <c r="AC52" s="94">
        <v>1008</v>
      </c>
      <c r="AE52" s="94">
        <v>20592</v>
      </c>
      <c r="AG52" s="94">
        <v>12</v>
      </c>
      <c r="AI52" s="94">
        <v>3575</v>
      </c>
      <c r="AK52" s="94">
        <v>464584</v>
      </c>
      <c r="AM52" s="94">
        <v>8</v>
      </c>
      <c r="AO52" s="83">
        <v>3965</v>
      </c>
      <c r="AQ52" s="94">
        <v>101952</v>
      </c>
      <c r="AS52" s="94">
        <v>14</v>
      </c>
      <c r="AU52" s="83">
        <v>2195</v>
      </c>
      <c r="AW52" s="94">
        <v>150848</v>
      </c>
      <c r="AY52" s="95"/>
      <c r="BA52" s="95"/>
      <c r="BB52" s="95"/>
    </row>
    <row r="53" spans="2:286" s="94" customFormat="1" ht="30" customHeight="1" x14ac:dyDescent="0.2">
      <c r="B53" s="424" t="s">
        <v>36</v>
      </c>
      <c r="C53" s="94">
        <v>2</v>
      </c>
      <c r="E53" s="94">
        <v>51</v>
      </c>
      <c r="G53" s="94">
        <v>3296</v>
      </c>
      <c r="I53" s="94">
        <v>4</v>
      </c>
      <c r="K53" s="94">
        <v>447</v>
      </c>
      <c r="M53" s="94">
        <v>150168</v>
      </c>
      <c r="O53" s="95">
        <v>4</v>
      </c>
      <c r="Q53" s="95">
        <v>454</v>
      </c>
      <c r="S53" s="94">
        <v>7696</v>
      </c>
      <c r="U53" s="94">
        <v>8</v>
      </c>
      <c r="W53" s="94">
        <v>3079</v>
      </c>
      <c r="Y53" s="94">
        <v>68968</v>
      </c>
      <c r="Z53" s="95"/>
      <c r="AA53" s="94">
        <v>6</v>
      </c>
      <c r="AC53" s="94">
        <v>1935</v>
      </c>
      <c r="AE53" s="94">
        <v>39192</v>
      </c>
      <c r="AG53" s="94">
        <v>6</v>
      </c>
      <c r="AI53" s="94">
        <v>1183</v>
      </c>
      <c r="AK53" s="94">
        <v>102728</v>
      </c>
      <c r="AM53" s="94">
        <v>7</v>
      </c>
      <c r="AO53" s="83">
        <v>1753</v>
      </c>
      <c r="AQ53" s="94">
        <v>64440</v>
      </c>
      <c r="AS53" s="94">
        <v>11</v>
      </c>
      <c r="AU53" s="83">
        <v>4751</v>
      </c>
      <c r="AW53" s="94">
        <v>156528</v>
      </c>
      <c r="AY53" s="95"/>
      <c r="BA53" s="95"/>
      <c r="BB53" s="95"/>
    </row>
    <row r="54" spans="2:286" s="104" customFormat="1" ht="30" customHeight="1" x14ac:dyDescent="0.2">
      <c r="B54" s="415" t="s">
        <v>6</v>
      </c>
      <c r="C54" s="416">
        <f>SUM(C42:C53)</f>
        <v>67</v>
      </c>
      <c r="D54" s="416"/>
      <c r="E54" s="416">
        <f>SUM(E42:E53)</f>
        <v>19565</v>
      </c>
      <c r="F54" s="416"/>
      <c r="G54" s="416">
        <f>SUM(G42:G53)</f>
        <v>446584</v>
      </c>
      <c r="H54" s="417"/>
      <c r="I54" s="416">
        <f>SUM(I42:I53)</f>
        <v>73</v>
      </c>
      <c r="J54" s="416"/>
      <c r="K54" s="416">
        <f>SUM(K42:K53)</f>
        <v>48096</v>
      </c>
      <c r="L54" s="416"/>
      <c r="M54" s="416">
        <f>SUM(M42:M53)</f>
        <v>2216520</v>
      </c>
      <c r="N54" s="417"/>
      <c r="O54" s="416">
        <f>SUM(O42:O53)</f>
        <v>63</v>
      </c>
      <c r="P54" s="416"/>
      <c r="Q54" s="416">
        <f>SUM(Q42:Q53)</f>
        <v>34011</v>
      </c>
      <c r="R54" s="416"/>
      <c r="S54" s="416">
        <f>SUM(S42:S53)</f>
        <v>1520960</v>
      </c>
      <c r="T54" s="417"/>
      <c r="U54" s="416">
        <f>SUM(U42:U53)</f>
        <v>99</v>
      </c>
      <c r="V54" s="418"/>
      <c r="W54" s="416">
        <f>SUM(W42:W53)</f>
        <v>36114</v>
      </c>
      <c r="X54" s="416"/>
      <c r="Y54" s="416">
        <f>SUM(Y42:Y53)</f>
        <v>1452466</v>
      </c>
      <c r="Z54" s="417"/>
      <c r="AA54" s="416">
        <f>SUM(AA42:AA53)</f>
        <v>83</v>
      </c>
      <c r="AB54" s="416"/>
      <c r="AC54" s="416">
        <f>SUM(AC42:AC53)</f>
        <v>30606</v>
      </c>
      <c r="AD54" s="416"/>
      <c r="AE54" s="416">
        <f>SUM(AE42:AE53)</f>
        <v>1279380</v>
      </c>
      <c r="AF54" s="417"/>
      <c r="AG54" s="416">
        <f>SUM(AG42:AG53)</f>
        <v>84</v>
      </c>
      <c r="AH54" s="416"/>
      <c r="AI54" s="416">
        <f>SUM(AI42:AI53)</f>
        <v>26770</v>
      </c>
      <c r="AJ54" s="416"/>
      <c r="AK54" s="416">
        <f>SUM(AK42:AK53)</f>
        <v>1799416</v>
      </c>
      <c r="AL54" s="417"/>
      <c r="AM54" s="416">
        <f>SUM(AM42:AM53)</f>
        <v>89</v>
      </c>
      <c r="AN54" s="416"/>
      <c r="AO54" s="419">
        <f>SUM(AO42:AO53)</f>
        <v>25845</v>
      </c>
      <c r="AP54" s="416"/>
      <c r="AQ54" s="416">
        <f>SUM(AQ42:AQ53)</f>
        <v>1878696</v>
      </c>
      <c r="AR54" s="417"/>
      <c r="AS54" s="416">
        <f>SUM(AS42:AS53)</f>
        <v>94</v>
      </c>
      <c r="AT54" s="416"/>
      <c r="AU54" s="419">
        <f>SUM(AU42:AU53)</f>
        <v>26736</v>
      </c>
      <c r="AV54" s="416"/>
      <c r="AW54" s="416">
        <f>SUM(AW42:AW53)</f>
        <v>1573202</v>
      </c>
      <c r="AX54" s="416"/>
      <c r="AY54" s="108"/>
      <c r="AZ54" s="108"/>
      <c r="BA54" s="108"/>
      <c r="BB54" s="108"/>
      <c r="BC54" s="108"/>
      <c r="BD54" s="108"/>
      <c r="BE54" s="108"/>
      <c r="BF54" s="108"/>
      <c r="BG54" s="108"/>
    </row>
    <row r="55" spans="2:286" s="94" customFormat="1" ht="24.6" customHeight="1" x14ac:dyDescent="0.2">
      <c r="B55" s="113"/>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0" t="s">
        <v>84</v>
      </c>
      <c r="AX55" s="114"/>
      <c r="AY55" s="106"/>
      <c r="AZ55" s="106"/>
      <c r="BA55" s="114"/>
      <c r="BB55" s="114"/>
      <c r="BC55" s="114"/>
      <c r="BD55" s="114"/>
      <c r="BE55" s="114"/>
      <c r="BF55" s="114"/>
      <c r="BG55" s="114"/>
      <c r="BH55" s="114"/>
      <c r="BI55" s="114"/>
      <c r="BJ55" s="114"/>
    </row>
    <row r="56" spans="2:286" s="100" customFormat="1" ht="35.1" customHeight="1" x14ac:dyDescent="0.2">
      <c r="B56" s="98" t="s">
        <v>145</v>
      </c>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9"/>
    </row>
    <row r="57" spans="2:286" s="100" customFormat="1" ht="35.1" customHeight="1" x14ac:dyDescent="0.2">
      <c r="B57" s="774" t="s">
        <v>105</v>
      </c>
      <c r="C57" s="774"/>
      <c r="D57" s="774"/>
      <c r="E57" s="774"/>
      <c r="F57" s="774"/>
      <c r="G57" s="774"/>
      <c r="H57" s="774"/>
      <c r="I57" s="774"/>
      <c r="J57" s="774"/>
      <c r="K57" s="774"/>
      <c r="L57" s="774"/>
      <c r="M57" s="774"/>
      <c r="N57" s="774"/>
      <c r="O57" s="774"/>
      <c r="P57" s="774"/>
      <c r="Q57" s="774"/>
      <c r="R57" s="774"/>
      <c r="S57" s="774"/>
      <c r="T57" s="774"/>
      <c r="U57" s="774"/>
      <c r="V57" s="774"/>
      <c r="W57" s="774"/>
      <c r="X57" s="774"/>
      <c r="Y57" s="774"/>
      <c r="Z57" s="774"/>
      <c r="AA57" s="774"/>
      <c r="AB57" s="774"/>
      <c r="AC57" s="774"/>
      <c r="AD57" s="774"/>
      <c r="AE57" s="774"/>
      <c r="AF57" s="774"/>
      <c r="AG57" s="774"/>
      <c r="AH57" s="774"/>
      <c r="AI57" s="774"/>
      <c r="AJ57" s="774"/>
      <c r="AK57" s="774"/>
      <c r="AL57" s="774"/>
      <c r="AM57" s="774"/>
      <c r="AN57" s="774"/>
      <c r="AO57" s="774"/>
      <c r="AP57" s="774"/>
      <c r="AQ57" s="774"/>
      <c r="AR57" s="774"/>
      <c r="AS57" s="774"/>
      <c r="AT57" s="774"/>
      <c r="AU57" s="774"/>
      <c r="AV57" s="774"/>
      <c r="AW57" s="774"/>
      <c r="AX57" s="774"/>
      <c r="AY57" s="101"/>
      <c r="AZ57" s="101"/>
      <c r="BA57" s="101"/>
      <c r="BB57" s="101"/>
      <c r="BC57" s="101"/>
      <c r="BD57" s="101"/>
      <c r="BE57" s="101"/>
      <c r="BF57" s="101"/>
      <c r="BG57" s="101"/>
      <c r="BH57" s="101"/>
      <c r="BI57" s="101"/>
      <c r="BJ57" s="101"/>
    </row>
    <row r="58" spans="2:286" s="100" customFormat="1" ht="35.1" customHeight="1" x14ac:dyDescent="0.2">
      <c r="B58" s="775" t="s">
        <v>324</v>
      </c>
      <c r="C58" s="775"/>
      <c r="D58" s="775"/>
      <c r="E58" s="775"/>
      <c r="F58" s="775"/>
      <c r="G58" s="775"/>
      <c r="H58" s="775"/>
      <c r="I58" s="775"/>
      <c r="J58" s="775"/>
      <c r="K58" s="775"/>
      <c r="L58" s="775"/>
      <c r="M58" s="775"/>
      <c r="N58" s="775"/>
      <c r="O58" s="775"/>
      <c r="P58" s="775"/>
      <c r="Q58" s="775"/>
      <c r="R58" s="775"/>
      <c r="S58" s="775"/>
      <c r="T58" s="775"/>
      <c r="U58" s="775"/>
      <c r="V58" s="775"/>
      <c r="W58" s="775"/>
      <c r="X58" s="775"/>
      <c r="Y58" s="775"/>
      <c r="Z58" s="775"/>
      <c r="AA58" s="775"/>
      <c r="AB58" s="775"/>
      <c r="AC58" s="775"/>
      <c r="AD58" s="775"/>
      <c r="AE58" s="775"/>
      <c r="AF58" s="775"/>
      <c r="AG58" s="775"/>
      <c r="AH58" s="775"/>
      <c r="AI58" s="775"/>
      <c r="AJ58" s="775"/>
      <c r="AK58" s="775"/>
      <c r="AL58" s="775"/>
      <c r="AM58" s="775"/>
      <c r="AN58" s="775"/>
      <c r="AO58" s="775"/>
      <c r="AP58" s="775"/>
      <c r="AQ58" s="775"/>
      <c r="AR58" s="775"/>
      <c r="AS58" s="775"/>
      <c r="AT58" s="775"/>
      <c r="AU58" s="775"/>
      <c r="AV58" s="775"/>
      <c r="AW58" s="775"/>
      <c r="AX58" s="775"/>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775"/>
      <c r="CF58" s="775"/>
      <c r="CG58" s="775"/>
      <c r="CH58" s="775"/>
      <c r="CI58" s="775"/>
      <c r="CJ58" s="775"/>
      <c r="CK58" s="775"/>
      <c r="CL58" s="775"/>
      <c r="CM58" s="775"/>
      <c r="CN58" s="775"/>
      <c r="CO58" s="775"/>
      <c r="CP58" s="775"/>
      <c r="CQ58" s="775"/>
      <c r="CR58" s="775"/>
      <c r="CS58" s="775"/>
      <c r="CT58" s="775"/>
      <c r="CU58" s="775"/>
      <c r="CV58" s="775"/>
      <c r="CW58" s="775"/>
      <c r="CX58" s="775"/>
      <c r="CY58" s="775"/>
      <c r="CZ58" s="775"/>
      <c r="DA58" s="775"/>
      <c r="DB58" s="775"/>
      <c r="DC58" s="775"/>
      <c r="DD58" s="775"/>
      <c r="DE58" s="775"/>
      <c r="DF58" s="775"/>
      <c r="DG58" s="775"/>
      <c r="DH58" s="775"/>
      <c r="DI58" s="775"/>
      <c r="DJ58" s="775"/>
      <c r="DK58" s="775"/>
      <c r="DL58" s="775"/>
      <c r="DM58" s="775"/>
      <c r="DN58" s="775"/>
      <c r="DO58" s="775"/>
      <c r="DP58" s="775"/>
      <c r="DQ58" s="775"/>
      <c r="DR58" s="775"/>
      <c r="DS58" s="775"/>
      <c r="DT58" s="775"/>
      <c r="DU58" s="775"/>
      <c r="DV58" s="775"/>
      <c r="DW58" s="775"/>
      <c r="DX58" s="775"/>
      <c r="DY58" s="775"/>
      <c r="DZ58" s="775"/>
      <c r="EA58" s="775"/>
      <c r="EB58" s="775"/>
      <c r="EC58" s="775"/>
      <c r="ED58" s="775"/>
      <c r="EE58" s="775"/>
      <c r="EF58" s="775"/>
      <c r="EG58" s="775"/>
      <c r="EH58" s="775"/>
      <c r="EI58" s="775"/>
      <c r="EJ58" s="775"/>
      <c r="EK58" s="775"/>
      <c r="EL58" s="775"/>
      <c r="EM58" s="775"/>
      <c r="EN58" s="775"/>
      <c r="EO58" s="775"/>
      <c r="EP58" s="775"/>
      <c r="EQ58" s="775"/>
      <c r="ER58" s="775"/>
      <c r="ES58" s="775"/>
      <c r="ET58" s="775"/>
      <c r="EU58" s="775"/>
      <c r="EV58" s="775"/>
      <c r="EW58" s="775"/>
      <c r="EX58" s="775"/>
      <c r="EY58" s="775"/>
      <c r="EZ58" s="775"/>
      <c r="FA58" s="775"/>
      <c r="FB58" s="775"/>
      <c r="FC58" s="775"/>
      <c r="FD58" s="775"/>
      <c r="FE58" s="775"/>
      <c r="FF58" s="775"/>
      <c r="FG58" s="775"/>
      <c r="FH58" s="775"/>
      <c r="FI58" s="775"/>
      <c r="FJ58" s="775"/>
      <c r="FK58" s="775"/>
      <c r="FL58" s="775"/>
      <c r="FM58" s="775"/>
      <c r="FN58" s="775"/>
      <c r="FO58" s="775"/>
      <c r="FP58" s="775"/>
      <c r="FQ58" s="775"/>
      <c r="FR58" s="775"/>
      <c r="FS58" s="775"/>
      <c r="FT58" s="775"/>
      <c r="FU58" s="775"/>
      <c r="FV58" s="775"/>
      <c r="FW58" s="775"/>
      <c r="FX58" s="775"/>
      <c r="FY58" s="775"/>
      <c r="FZ58" s="775"/>
      <c r="GA58" s="775"/>
      <c r="GB58" s="775"/>
      <c r="GC58" s="775"/>
      <c r="GD58" s="775"/>
      <c r="GE58" s="775"/>
      <c r="GF58" s="775"/>
      <c r="GG58" s="775"/>
      <c r="GH58" s="775"/>
      <c r="GI58" s="775"/>
      <c r="GJ58" s="775"/>
      <c r="GK58" s="775"/>
      <c r="GL58" s="775"/>
      <c r="GM58" s="775"/>
      <c r="GN58" s="775"/>
      <c r="GO58" s="775"/>
      <c r="GP58" s="775"/>
      <c r="GQ58" s="775"/>
      <c r="GR58" s="775"/>
      <c r="GS58" s="775"/>
      <c r="GT58" s="775"/>
      <c r="GU58" s="775"/>
      <c r="GV58" s="775"/>
      <c r="GW58" s="775"/>
      <c r="GX58" s="775"/>
      <c r="GY58" s="775"/>
      <c r="GZ58" s="775"/>
      <c r="HA58" s="775"/>
      <c r="HB58" s="775"/>
      <c r="HC58" s="775"/>
      <c r="HD58" s="775"/>
      <c r="HE58" s="775"/>
      <c r="HF58" s="775"/>
      <c r="HG58" s="775"/>
      <c r="HH58" s="775"/>
      <c r="HI58" s="775"/>
      <c r="HJ58" s="775"/>
      <c r="HK58" s="775"/>
      <c r="HL58" s="775"/>
      <c r="HM58" s="775"/>
      <c r="HN58" s="775"/>
      <c r="HO58" s="775"/>
      <c r="HP58" s="775"/>
      <c r="HQ58" s="775"/>
      <c r="HR58" s="775"/>
      <c r="HS58" s="775"/>
      <c r="HT58" s="775"/>
      <c r="HU58" s="775"/>
      <c r="HV58" s="775"/>
      <c r="HW58" s="775"/>
      <c r="HX58" s="775"/>
      <c r="HY58" s="775"/>
      <c r="HZ58" s="775"/>
      <c r="IA58" s="775"/>
      <c r="IB58" s="775"/>
      <c r="IC58" s="775"/>
      <c r="ID58" s="775"/>
      <c r="IE58" s="775"/>
      <c r="IF58" s="775"/>
      <c r="IG58" s="775"/>
      <c r="IH58" s="775"/>
      <c r="II58" s="775"/>
      <c r="IJ58" s="775"/>
      <c r="IK58" s="775"/>
      <c r="IL58" s="775"/>
      <c r="IM58" s="775"/>
      <c r="IN58" s="775"/>
      <c r="IO58" s="775"/>
      <c r="IP58" s="775"/>
      <c r="IQ58" s="775"/>
      <c r="IR58" s="775"/>
      <c r="IS58" s="775"/>
      <c r="IT58" s="775"/>
      <c r="IU58" s="775"/>
      <c r="IV58" s="775"/>
      <c r="IW58" s="775"/>
      <c r="IX58" s="775"/>
      <c r="IY58" s="775"/>
      <c r="IZ58" s="775"/>
      <c r="JA58" s="775"/>
      <c r="JB58" s="775"/>
      <c r="JC58" s="775"/>
      <c r="JD58" s="775"/>
      <c r="JE58" s="775"/>
      <c r="JF58" s="775"/>
      <c r="JG58" s="775"/>
      <c r="JH58" s="775"/>
      <c r="JI58" s="775"/>
      <c r="JJ58" s="775"/>
      <c r="JK58" s="775"/>
      <c r="JL58" s="775"/>
      <c r="JM58" s="775"/>
      <c r="JN58" s="775"/>
      <c r="JO58" s="775"/>
      <c r="JP58" s="775"/>
      <c r="JQ58" s="775"/>
      <c r="JR58" s="775"/>
      <c r="JS58" s="775"/>
      <c r="JT58" s="775"/>
      <c r="JU58" s="775"/>
      <c r="JV58" s="775"/>
      <c r="JW58" s="775"/>
      <c r="JX58" s="775"/>
      <c r="JY58" s="775"/>
      <c r="JZ58" s="775"/>
    </row>
    <row r="59" spans="2:286" ht="24" customHeight="1" x14ac:dyDescent="0.2">
      <c r="B59" s="115" t="s">
        <v>136</v>
      </c>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c r="AT59" s="116"/>
      <c r="AU59" s="116"/>
      <c r="AV59" s="116"/>
    </row>
    <row r="60" spans="2:286" s="104" customFormat="1" ht="25.15" customHeight="1" x14ac:dyDescent="0.2">
      <c r="B60" s="771" t="s">
        <v>24</v>
      </c>
      <c r="C60" s="778" t="s">
        <v>226</v>
      </c>
      <c r="D60" s="778"/>
      <c r="E60" s="778"/>
      <c r="F60" s="778"/>
      <c r="G60" s="778"/>
      <c r="H60" s="778"/>
      <c r="I60" s="778"/>
      <c r="J60" s="778"/>
      <c r="K60" s="778"/>
      <c r="L60" s="778"/>
      <c r="M60" s="778"/>
      <c r="N60" s="778"/>
      <c r="O60" s="778"/>
      <c r="P60" s="778"/>
      <c r="Q60" s="778"/>
      <c r="R60" s="778"/>
      <c r="S60" s="778"/>
      <c r="T60" s="778"/>
      <c r="U60" s="778"/>
      <c r="V60" s="778"/>
      <c r="W60" s="778"/>
      <c r="X60" s="778"/>
      <c r="Y60" s="778"/>
      <c r="Z60" s="778"/>
      <c r="AA60" s="778"/>
      <c r="AB60" s="778"/>
      <c r="AC60" s="778"/>
      <c r="AD60" s="778"/>
      <c r="AE60" s="778"/>
      <c r="AF60" s="778"/>
      <c r="AG60" s="778"/>
      <c r="AH60" s="778"/>
      <c r="AI60" s="778"/>
      <c r="AJ60" s="778"/>
      <c r="AK60" s="778"/>
      <c r="AL60" s="778"/>
      <c r="AM60" s="778"/>
      <c r="AN60" s="778"/>
      <c r="AO60" s="778"/>
      <c r="AP60" s="778"/>
      <c r="AQ60" s="778"/>
      <c r="AR60" s="778"/>
      <c r="AS60" s="778"/>
      <c r="AT60" s="778"/>
      <c r="AU60" s="778"/>
      <c r="AV60" s="778"/>
      <c r="AW60" s="778"/>
      <c r="AX60" s="778"/>
      <c r="AY60" s="112"/>
      <c r="AZ60" s="112"/>
      <c r="BA60" s="112"/>
      <c r="BB60" s="112"/>
      <c r="BC60" s="112"/>
      <c r="BD60" s="112"/>
      <c r="BE60" s="112"/>
      <c r="BF60" s="112"/>
      <c r="BG60" s="112"/>
      <c r="BH60" s="112"/>
      <c r="BI60" s="112"/>
      <c r="BJ60" s="112"/>
    </row>
    <row r="61" spans="2:286" s="104" customFormat="1" ht="25.15" customHeight="1" x14ac:dyDescent="0.2">
      <c r="B61" s="771"/>
      <c r="C61" s="764">
        <v>2014</v>
      </c>
      <c r="D61" s="764"/>
      <c r="E61" s="764"/>
      <c r="F61" s="764"/>
      <c r="G61" s="764"/>
      <c r="H61" s="764"/>
      <c r="I61" s="764">
        <v>2015</v>
      </c>
      <c r="J61" s="764"/>
      <c r="K61" s="764"/>
      <c r="L61" s="764"/>
      <c r="M61" s="764"/>
      <c r="N61" s="764"/>
      <c r="O61" s="764">
        <v>2016</v>
      </c>
      <c r="P61" s="764"/>
      <c r="Q61" s="764"/>
      <c r="R61" s="764"/>
      <c r="S61" s="764"/>
      <c r="T61" s="764"/>
      <c r="U61" s="764">
        <v>2017</v>
      </c>
      <c r="V61" s="764"/>
      <c r="W61" s="764"/>
      <c r="X61" s="764"/>
      <c r="Y61" s="764"/>
      <c r="Z61" s="764"/>
      <c r="AA61" s="764">
        <v>2018</v>
      </c>
      <c r="AB61" s="764"/>
      <c r="AC61" s="764"/>
      <c r="AD61" s="764"/>
      <c r="AE61" s="764"/>
      <c r="AF61" s="764"/>
      <c r="AG61" s="764">
        <v>2019</v>
      </c>
      <c r="AH61" s="764"/>
      <c r="AI61" s="764"/>
      <c r="AJ61" s="764"/>
      <c r="AK61" s="764"/>
      <c r="AL61" s="764"/>
      <c r="AM61" s="764">
        <v>2020</v>
      </c>
      <c r="AN61" s="764"/>
      <c r="AO61" s="764"/>
      <c r="AP61" s="764"/>
      <c r="AQ61" s="764"/>
      <c r="AR61" s="764"/>
      <c r="AS61" s="764">
        <v>2021</v>
      </c>
      <c r="AT61" s="764"/>
      <c r="AU61" s="764"/>
      <c r="AV61" s="764"/>
      <c r="AW61" s="764"/>
      <c r="AX61" s="764"/>
      <c r="AY61" s="112"/>
      <c r="AZ61" s="112"/>
      <c r="BA61" s="112"/>
      <c r="BB61" s="112"/>
      <c r="BC61" s="112"/>
      <c r="BD61" s="112"/>
      <c r="BE61" s="112"/>
      <c r="BF61" s="112"/>
      <c r="BG61" s="112"/>
      <c r="BH61" s="112"/>
      <c r="BI61" s="112"/>
      <c r="BJ61" s="112"/>
    </row>
    <row r="62" spans="2:286" s="104" customFormat="1" ht="25.15" customHeight="1" x14ac:dyDescent="0.2">
      <c r="B62" s="771"/>
      <c r="C62" s="766" t="s">
        <v>176</v>
      </c>
      <c r="D62" s="767"/>
      <c r="E62" s="768" t="s">
        <v>210</v>
      </c>
      <c r="F62" s="767"/>
      <c r="G62" s="768" t="s">
        <v>211</v>
      </c>
      <c r="H62" s="766"/>
      <c r="I62" s="766" t="s">
        <v>176</v>
      </c>
      <c r="J62" s="767"/>
      <c r="K62" s="768" t="s">
        <v>210</v>
      </c>
      <c r="L62" s="767"/>
      <c r="M62" s="768" t="s">
        <v>211</v>
      </c>
      <c r="N62" s="766"/>
      <c r="O62" s="766" t="s">
        <v>176</v>
      </c>
      <c r="P62" s="767"/>
      <c r="Q62" s="768" t="s">
        <v>210</v>
      </c>
      <c r="R62" s="767"/>
      <c r="S62" s="768" t="s">
        <v>211</v>
      </c>
      <c r="T62" s="766"/>
      <c r="U62" s="766" t="s">
        <v>176</v>
      </c>
      <c r="V62" s="767"/>
      <c r="W62" s="768" t="s">
        <v>210</v>
      </c>
      <c r="X62" s="767"/>
      <c r="Y62" s="768" t="s">
        <v>211</v>
      </c>
      <c r="Z62" s="766"/>
      <c r="AA62" s="766" t="s">
        <v>176</v>
      </c>
      <c r="AB62" s="767"/>
      <c r="AC62" s="768" t="s">
        <v>210</v>
      </c>
      <c r="AD62" s="767"/>
      <c r="AE62" s="768" t="s">
        <v>211</v>
      </c>
      <c r="AF62" s="766"/>
      <c r="AG62" s="766" t="s">
        <v>176</v>
      </c>
      <c r="AH62" s="767"/>
      <c r="AI62" s="768" t="s">
        <v>210</v>
      </c>
      <c r="AJ62" s="767"/>
      <c r="AK62" s="768" t="s">
        <v>211</v>
      </c>
      <c r="AL62" s="766"/>
      <c r="AM62" s="766" t="s">
        <v>176</v>
      </c>
      <c r="AN62" s="767"/>
      <c r="AO62" s="768" t="s">
        <v>210</v>
      </c>
      <c r="AP62" s="767"/>
      <c r="AQ62" s="768" t="s">
        <v>211</v>
      </c>
      <c r="AR62" s="766"/>
      <c r="AS62" s="766" t="s">
        <v>176</v>
      </c>
      <c r="AT62" s="767"/>
      <c r="AU62" s="768" t="s">
        <v>210</v>
      </c>
      <c r="AV62" s="767"/>
      <c r="AW62" s="768" t="s">
        <v>211</v>
      </c>
      <c r="AX62" s="766"/>
      <c r="AY62" s="105"/>
      <c r="AZ62" s="105"/>
      <c r="BA62" s="105"/>
      <c r="BB62" s="105"/>
      <c r="BC62" s="105"/>
      <c r="BD62" s="105"/>
      <c r="BE62" s="105"/>
      <c r="BF62" s="105"/>
      <c r="BG62" s="105"/>
    </row>
    <row r="63" spans="2:286" s="94" customFormat="1" ht="30" customHeight="1" x14ac:dyDescent="0.2">
      <c r="B63" s="424" t="s">
        <v>25</v>
      </c>
      <c r="C63" s="94">
        <v>3</v>
      </c>
      <c r="E63" s="83">
        <v>4190</v>
      </c>
      <c r="G63" s="94">
        <v>107368</v>
      </c>
      <c r="I63" s="94">
        <v>2</v>
      </c>
      <c r="K63" s="83">
        <v>2930</v>
      </c>
      <c r="M63" s="106">
        <v>48880</v>
      </c>
      <c r="N63" s="106"/>
      <c r="O63" s="95" t="s">
        <v>8</v>
      </c>
      <c r="Q63" s="270" t="s">
        <v>8</v>
      </c>
      <c r="S63" s="106">
        <v>8000</v>
      </c>
      <c r="T63" s="117" t="s">
        <v>62</v>
      </c>
      <c r="U63" s="94">
        <v>2</v>
      </c>
      <c r="W63" s="271">
        <v>328</v>
      </c>
      <c r="Y63" s="106">
        <v>142824</v>
      </c>
      <c r="AA63" s="94">
        <v>3</v>
      </c>
      <c r="AC63" s="83">
        <v>760</v>
      </c>
      <c r="AE63" s="94">
        <v>133160</v>
      </c>
      <c r="AF63" s="272"/>
      <c r="AG63" s="94">
        <v>3</v>
      </c>
      <c r="AI63" s="83">
        <v>2499</v>
      </c>
      <c r="AK63" s="94">
        <v>265360</v>
      </c>
      <c r="AL63" s="272"/>
      <c r="AM63" s="70">
        <v>3</v>
      </c>
      <c r="AN63" s="70"/>
      <c r="AO63" s="17">
        <v>22473</v>
      </c>
      <c r="AP63" s="70"/>
      <c r="AQ63" s="70">
        <v>351792</v>
      </c>
      <c r="AR63" s="273"/>
      <c r="AS63" s="70">
        <v>2</v>
      </c>
      <c r="AT63" s="70"/>
      <c r="AU63" s="17">
        <v>220</v>
      </c>
      <c r="AV63" s="70"/>
      <c r="AW63" s="70">
        <v>20960</v>
      </c>
      <c r="AX63" s="273"/>
      <c r="AY63" s="106"/>
      <c r="BB63" s="95"/>
    </row>
    <row r="64" spans="2:286" s="94" customFormat="1" ht="30" customHeight="1" x14ac:dyDescent="0.2">
      <c r="B64" s="424" t="s">
        <v>26</v>
      </c>
      <c r="C64" s="94">
        <v>5</v>
      </c>
      <c r="E64" s="83">
        <v>1469</v>
      </c>
      <c r="G64" s="94">
        <v>65384</v>
      </c>
      <c r="I64" s="94">
        <v>1</v>
      </c>
      <c r="K64" s="83">
        <v>83</v>
      </c>
      <c r="M64" s="106">
        <v>7968</v>
      </c>
      <c r="N64" s="106"/>
      <c r="O64" s="94">
        <v>3</v>
      </c>
      <c r="Q64" s="83">
        <v>1234</v>
      </c>
      <c r="S64" s="106">
        <v>133496</v>
      </c>
      <c r="T64" s="106"/>
      <c r="U64" s="94">
        <v>2</v>
      </c>
      <c r="W64" s="83">
        <v>621</v>
      </c>
      <c r="Y64" s="106">
        <v>111240</v>
      </c>
      <c r="AA64" s="94">
        <v>5</v>
      </c>
      <c r="AC64" s="83">
        <v>4066</v>
      </c>
      <c r="AE64" s="94">
        <v>53268</v>
      </c>
      <c r="AF64" s="272"/>
      <c r="AG64" s="94">
        <v>2</v>
      </c>
      <c r="AI64" s="83">
        <v>1320</v>
      </c>
      <c r="AK64" s="94">
        <v>10560</v>
      </c>
      <c r="AL64" s="272"/>
      <c r="AM64" s="70">
        <v>8</v>
      </c>
      <c r="AN64" s="70"/>
      <c r="AO64" s="17">
        <v>4250</v>
      </c>
      <c r="AP64" s="70"/>
      <c r="AQ64" s="70">
        <v>167648</v>
      </c>
      <c r="AR64" s="273"/>
      <c r="AS64" s="70">
        <v>1</v>
      </c>
      <c r="AT64" s="70"/>
      <c r="AU64" s="17">
        <v>83</v>
      </c>
      <c r="AV64" s="70"/>
      <c r="AW64" s="70">
        <v>16480</v>
      </c>
      <c r="AX64" s="273"/>
      <c r="AY64" s="107"/>
      <c r="BA64" s="95"/>
      <c r="BB64" s="95"/>
    </row>
    <row r="65" spans="2:62" s="94" customFormat="1" ht="30" customHeight="1" x14ac:dyDescent="0.2">
      <c r="B65" s="424" t="s">
        <v>27</v>
      </c>
      <c r="C65" s="94">
        <v>11</v>
      </c>
      <c r="E65" s="83">
        <v>8175</v>
      </c>
      <c r="G65" s="94">
        <v>291872</v>
      </c>
      <c r="I65" s="95" t="s">
        <v>8</v>
      </c>
      <c r="K65" s="274" t="s">
        <v>8</v>
      </c>
      <c r="M65" s="106">
        <v>10624</v>
      </c>
      <c r="N65" s="272" t="s">
        <v>62</v>
      </c>
      <c r="O65" s="95">
        <v>9</v>
      </c>
      <c r="Q65" s="83">
        <v>4848</v>
      </c>
      <c r="S65" s="106">
        <v>304752</v>
      </c>
      <c r="T65" s="106"/>
      <c r="U65" s="94">
        <v>2</v>
      </c>
      <c r="W65" s="83">
        <v>799</v>
      </c>
      <c r="Y65" s="106">
        <v>169224</v>
      </c>
      <c r="AA65" s="94">
        <v>5</v>
      </c>
      <c r="AC65" s="83">
        <v>1602</v>
      </c>
      <c r="AE65" s="94">
        <v>53824</v>
      </c>
      <c r="AF65" s="272"/>
      <c r="AG65" s="94">
        <v>8</v>
      </c>
      <c r="AI65" s="83">
        <v>6337</v>
      </c>
      <c r="AK65" s="94">
        <v>134984</v>
      </c>
      <c r="AL65" s="272"/>
      <c r="AM65" s="70">
        <v>3</v>
      </c>
      <c r="AN65" s="70"/>
      <c r="AO65" s="17">
        <v>3433</v>
      </c>
      <c r="AP65" s="70"/>
      <c r="AQ65" s="70">
        <v>37528</v>
      </c>
      <c r="AR65" s="273"/>
      <c r="AS65" s="70">
        <v>6</v>
      </c>
      <c r="AT65" s="70"/>
      <c r="AU65" s="17">
        <v>96962</v>
      </c>
      <c r="AV65" s="70"/>
      <c r="AW65" s="70">
        <v>907112</v>
      </c>
      <c r="AX65" s="273"/>
      <c r="AY65" s="106"/>
    </row>
    <row r="66" spans="2:62" s="94" customFormat="1" ht="30" customHeight="1" x14ac:dyDescent="0.2">
      <c r="B66" s="424" t="s">
        <v>28</v>
      </c>
      <c r="C66" s="94">
        <v>13</v>
      </c>
      <c r="E66" s="83">
        <v>3495</v>
      </c>
      <c r="G66" s="94">
        <v>618944</v>
      </c>
      <c r="I66" s="94">
        <v>6</v>
      </c>
      <c r="K66" s="83">
        <v>1869</v>
      </c>
      <c r="M66" s="94">
        <v>44392</v>
      </c>
      <c r="N66" s="106"/>
      <c r="O66" s="94">
        <v>4</v>
      </c>
      <c r="P66" s="95"/>
      <c r="Q66" s="83">
        <v>586</v>
      </c>
      <c r="R66" s="95"/>
      <c r="S66" s="106">
        <v>336384</v>
      </c>
      <c r="T66" s="106"/>
      <c r="U66" s="94">
        <v>6</v>
      </c>
      <c r="W66" s="83">
        <v>1827</v>
      </c>
      <c r="Y66" s="106">
        <v>137080</v>
      </c>
      <c r="AA66" s="94">
        <v>6</v>
      </c>
      <c r="AC66" s="83">
        <v>1295</v>
      </c>
      <c r="AE66" s="94">
        <v>60168</v>
      </c>
      <c r="AF66" s="272"/>
      <c r="AG66" s="94">
        <v>4</v>
      </c>
      <c r="AI66" s="83">
        <v>1866</v>
      </c>
      <c r="AK66" s="94">
        <v>58128</v>
      </c>
      <c r="AL66" s="272"/>
      <c r="AM66" s="70">
        <v>0</v>
      </c>
      <c r="AN66" s="70"/>
      <c r="AO66" s="17">
        <v>0</v>
      </c>
      <c r="AP66" s="70"/>
      <c r="AQ66" s="70">
        <v>0</v>
      </c>
      <c r="AR66" s="273"/>
      <c r="AS66" s="70">
        <v>3</v>
      </c>
      <c r="AT66" s="70"/>
      <c r="AU66" s="17">
        <v>95377</v>
      </c>
      <c r="AV66" s="70"/>
      <c r="AW66" s="70">
        <v>1526032</v>
      </c>
      <c r="AX66" s="273"/>
      <c r="AY66" s="106"/>
    </row>
    <row r="67" spans="2:62" s="94" customFormat="1" ht="30" customHeight="1" x14ac:dyDescent="0.2">
      <c r="B67" s="424" t="s">
        <v>29</v>
      </c>
      <c r="C67" s="94">
        <v>7</v>
      </c>
      <c r="E67" s="83">
        <v>3144</v>
      </c>
      <c r="G67" s="94">
        <v>388036</v>
      </c>
      <c r="I67" s="94">
        <v>4</v>
      </c>
      <c r="K67" s="83">
        <v>8590</v>
      </c>
      <c r="M67" s="94">
        <v>1047304</v>
      </c>
      <c r="N67" s="106"/>
      <c r="O67" s="94">
        <v>3</v>
      </c>
      <c r="Q67" s="83">
        <v>1027</v>
      </c>
      <c r="S67" s="106">
        <v>321936</v>
      </c>
      <c r="T67" s="106"/>
      <c r="U67" s="94">
        <v>3</v>
      </c>
      <c r="W67" s="83">
        <v>470</v>
      </c>
      <c r="Y67" s="106">
        <v>16536</v>
      </c>
      <c r="AA67" s="94">
        <v>6</v>
      </c>
      <c r="AC67" s="83">
        <v>977</v>
      </c>
      <c r="AE67" s="94">
        <v>86704</v>
      </c>
      <c r="AF67" s="272"/>
      <c r="AG67" s="94">
        <v>6</v>
      </c>
      <c r="AI67" s="83">
        <v>6912</v>
      </c>
      <c r="AK67" s="94">
        <v>148616</v>
      </c>
      <c r="AL67" s="272"/>
      <c r="AM67" s="70">
        <v>0</v>
      </c>
      <c r="AN67" s="70"/>
      <c r="AO67" s="17">
        <v>0</v>
      </c>
      <c r="AP67" s="70"/>
      <c r="AQ67" s="70">
        <v>0</v>
      </c>
      <c r="AR67" s="273"/>
      <c r="AS67" s="70">
        <v>5</v>
      </c>
      <c r="AT67" s="70"/>
      <c r="AU67" s="17">
        <v>1715</v>
      </c>
      <c r="AV67" s="70"/>
      <c r="AW67" s="70">
        <v>45160</v>
      </c>
      <c r="AX67" s="273"/>
      <c r="AY67" s="107"/>
      <c r="BA67" s="95"/>
      <c r="BB67" s="95"/>
    </row>
    <row r="68" spans="2:62" s="94" customFormat="1" ht="30" customHeight="1" x14ac:dyDescent="0.2">
      <c r="B68" s="424" t="s">
        <v>30</v>
      </c>
      <c r="C68" s="94">
        <v>6</v>
      </c>
      <c r="E68" s="83">
        <v>3883</v>
      </c>
      <c r="G68" s="94">
        <v>174958</v>
      </c>
      <c r="I68" s="94">
        <v>3</v>
      </c>
      <c r="K68" s="83">
        <v>1058</v>
      </c>
      <c r="M68" s="94">
        <v>125648</v>
      </c>
      <c r="N68" s="106"/>
      <c r="O68" s="94">
        <v>5</v>
      </c>
      <c r="P68" s="95"/>
      <c r="Q68" s="83">
        <v>788</v>
      </c>
      <c r="R68" s="95"/>
      <c r="S68" s="106">
        <v>210936</v>
      </c>
      <c r="T68" s="106"/>
      <c r="U68" s="94">
        <v>7</v>
      </c>
      <c r="W68" s="83">
        <v>1724</v>
      </c>
      <c r="Y68" s="106">
        <v>45472</v>
      </c>
      <c r="AA68" s="94">
        <v>6</v>
      </c>
      <c r="AC68" s="83">
        <v>1272</v>
      </c>
      <c r="AE68" s="94">
        <v>78568</v>
      </c>
      <c r="AF68" s="272"/>
      <c r="AG68" s="94">
        <v>4</v>
      </c>
      <c r="AI68" s="83">
        <v>48593</v>
      </c>
      <c r="AK68" s="94">
        <v>293992</v>
      </c>
      <c r="AL68" s="272"/>
      <c r="AM68" s="70">
        <v>0</v>
      </c>
      <c r="AN68" s="70"/>
      <c r="AO68" s="17">
        <v>0</v>
      </c>
      <c r="AP68" s="70"/>
      <c r="AQ68" s="70">
        <v>0</v>
      </c>
      <c r="AR68" s="273"/>
      <c r="AS68" s="70">
        <v>2</v>
      </c>
      <c r="AT68" s="70"/>
      <c r="AU68" s="17">
        <v>530</v>
      </c>
      <c r="AV68" s="70"/>
      <c r="AW68" s="70">
        <v>67200</v>
      </c>
      <c r="AX68" s="273"/>
      <c r="AY68" s="106"/>
      <c r="BA68" s="95"/>
    </row>
    <row r="69" spans="2:62" s="94" customFormat="1" ht="30" customHeight="1" x14ac:dyDescent="0.2">
      <c r="B69" s="424" t="s">
        <v>31</v>
      </c>
      <c r="C69" s="94">
        <v>8</v>
      </c>
      <c r="E69" s="83">
        <v>1229</v>
      </c>
      <c r="G69" s="94">
        <v>160994</v>
      </c>
      <c r="I69" s="94">
        <v>6</v>
      </c>
      <c r="K69" s="83">
        <v>491</v>
      </c>
      <c r="M69" s="94">
        <v>7128</v>
      </c>
      <c r="N69" s="106"/>
      <c r="O69" s="94">
        <v>1</v>
      </c>
      <c r="P69" s="95"/>
      <c r="Q69" s="83">
        <v>615</v>
      </c>
      <c r="R69" s="95"/>
      <c r="S69" s="106">
        <v>49944</v>
      </c>
      <c r="T69" s="106"/>
      <c r="U69" s="94">
        <v>9</v>
      </c>
      <c r="W69" s="83">
        <v>12475</v>
      </c>
      <c r="Y69" s="106">
        <v>415408</v>
      </c>
      <c r="AA69" s="94">
        <v>2</v>
      </c>
      <c r="AC69" s="83">
        <v>786</v>
      </c>
      <c r="AE69" s="94">
        <v>8626</v>
      </c>
      <c r="AF69" s="272"/>
      <c r="AG69" s="94">
        <v>6</v>
      </c>
      <c r="AI69" s="83">
        <v>10079</v>
      </c>
      <c r="AK69" s="94">
        <v>179416</v>
      </c>
      <c r="AL69" s="272"/>
      <c r="AM69" s="70">
        <v>0</v>
      </c>
      <c r="AN69" s="70"/>
      <c r="AO69" s="17">
        <v>0</v>
      </c>
      <c r="AP69" s="70"/>
      <c r="AQ69" s="70">
        <v>0</v>
      </c>
      <c r="AR69" s="273"/>
      <c r="AS69" s="70">
        <v>1</v>
      </c>
      <c r="AT69" s="70"/>
      <c r="AU69" s="17">
        <v>51</v>
      </c>
      <c r="AV69" s="70"/>
      <c r="AW69" s="70">
        <v>816</v>
      </c>
      <c r="AX69" s="273"/>
      <c r="AY69" s="107"/>
      <c r="AZ69" s="112"/>
      <c r="BA69" s="95"/>
      <c r="BB69" s="95"/>
    </row>
    <row r="70" spans="2:62" s="94" customFormat="1" ht="30" customHeight="1" x14ac:dyDescent="0.2">
      <c r="B70" s="424" t="s">
        <v>32</v>
      </c>
      <c r="C70" s="94">
        <v>5</v>
      </c>
      <c r="E70" s="83">
        <v>2087</v>
      </c>
      <c r="G70" s="94">
        <v>200064</v>
      </c>
      <c r="I70" s="94">
        <v>3</v>
      </c>
      <c r="K70" s="83">
        <v>780</v>
      </c>
      <c r="M70" s="94">
        <v>6240</v>
      </c>
      <c r="N70" s="106"/>
      <c r="O70" s="94">
        <v>1</v>
      </c>
      <c r="P70" s="95"/>
      <c r="Q70" s="83">
        <v>300</v>
      </c>
      <c r="R70" s="95"/>
      <c r="S70" s="106">
        <v>40800</v>
      </c>
      <c r="T70" s="106"/>
      <c r="U70" s="94">
        <v>2</v>
      </c>
      <c r="W70" s="83">
        <v>8143</v>
      </c>
      <c r="Y70" s="106">
        <v>195238</v>
      </c>
      <c r="AA70" s="94">
        <v>4</v>
      </c>
      <c r="AC70" s="83">
        <v>7544</v>
      </c>
      <c r="AE70" s="94">
        <v>46206</v>
      </c>
      <c r="AF70" s="272"/>
      <c r="AG70" s="772" t="s">
        <v>214</v>
      </c>
      <c r="AH70" s="772"/>
      <c r="AI70" s="772"/>
      <c r="AJ70" s="772"/>
      <c r="AK70" s="772"/>
      <c r="AL70" s="272"/>
      <c r="AM70" s="17">
        <v>0</v>
      </c>
      <c r="AN70" s="17"/>
      <c r="AO70" s="17">
        <v>0</v>
      </c>
      <c r="AP70" s="70"/>
      <c r="AQ70" s="70">
        <v>0</v>
      </c>
      <c r="AR70" s="273"/>
      <c r="AS70" s="17">
        <v>2</v>
      </c>
      <c r="AT70" s="17"/>
      <c r="AU70" s="17">
        <v>725</v>
      </c>
      <c r="AV70" s="70"/>
      <c r="AW70" s="70">
        <v>35400</v>
      </c>
      <c r="AX70" s="273"/>
      <c r="AY70" s="106"/>
    </row>
    <row r="71" spans="2:62" s="94" customFormat="1" ht="30" customHeight="1" x14ac:dyDescent="0.2">
      <c r="B71" s="424" t="s">
        <v>33</v>
      </c>
      <c r="C71" s="94">
        <v>12</v>
      </c>
      <c r="E71" s="83">
        <v>3754</v>
      </c>
      <c r="G71" s="94">
        <v>255592</v>
      </c>
      <c r="I71" s="94">
        <v>4</v>
      </c>
      <c r="K71" s="83">
        <v>1217</v>
      </c>
      <c r="M71" s="94">
        <v>59096</v>
      </c>
      <c r="N71" s="106"/>
      <c r="O71" s="94">
        <v>6</v>
      </c>
      <c r="P71" s="95"/>
      <c r="Q71" s="83">
        <v>2500</v>
      </c>
      <c r="R71" s="95"/>
      <c r="S71" s="106">
        <v>156872</v>
      </c>
      <c r="T71" s="106"/>
      <c r="U71" s="94">
        <v>3</v>
      </c>
      <c r="W71" s="83">
        <v>2508</v>
      </c>
      <c r="Y71" s="106">
        <v>126636</v>
      </c>
      <c r="AA71" s="94">
        <v>7</v>
      </c>
      <c r="AC71" s="83">
        <v>1040</v>
      </c>
      <c r="AE71" s="94">
        <v>16216</v>
      </c>
      <c r="AF71" s="272"/>
      <c r="AG71" s="94">
        <v>10</v>
      </c>
      <c r="AI71" s="83">
        <v>6428</v>
      </c>
      <c r="AK71" s="94">
        <v>237360</v>
      </c>
      <c r="AL71" s="272"/>
      <c r="AM71" s="70">
        <v>2</v>
      </c>
      <c r="AN71" s="70"/>
      <c r="AO71" s="17">
        <v>715</v>
      </c>
      <c r="AP71" s="70"/>
      <c r="AQ71" s="70">
        <v>7576</v>
      </c>
      <c r="AR71" s="273"/>
      <c r="AS71" s="70">
        <v>4</v>
      </c>
      <c r="AT71" s="70"/>
      <c r="AU71" s="17">
        <v>1012</v>
      </c>
      <c r="AV71" s="70"/>
      <c r="AW71" s="70">
        <v>132776</v>
      </c>
      <c r="AX71" s="273"/>
      <c r="AY71" s="106"/>
      <c r="BB71" s="95"/>
    </row>
    <row r="72" spans="2:62" s="94" customFormat="1" ht="30" customHeight="1" x14ac:dyDescent="0.2">
      <c r="B72" s="424" t="s">
        <v>34</v>
      </c>
      <c r="C72" s="94">
        <v>12</v>
      </c>
      <c r="E72" s="83">
        <v>1734</v>
      </c>
      <c r="G72" s="94">
        <v>276910</v>
      </c>
      <c r="I72" s="94">
        <v>8</v>
      </c>
      <c r="K72" s="83">
        <v>1865</v>
      </c>
      <c r="M72" s="94">
        <v>215248</v>
      </c>
      <c r="N72" s="106"/>
      <c r="O72" s="94">
        <v>2</v>
      </c>
      <c r="P72" s="95"/>
      <c r="Q72" s="83">
        <v>2666</v>
      </c>
      <c r="R72" s="95"/>
      <c r="S72" s="106">
        <v>67224</v>
      </c>
      <c r="T72" s="106"/>
      <c r="U72" s="94">
        <v>4</v>
      </c>
      <c r="W72" s="83">
        <v>22984</v>
      </c>
      <c r="Y72" s="106">
        <v>1142684</v>
      </c>
      <c r="AA72" s="94">
        <v>4</v>
      </c>
      <c r="AC72" s="83">
        <v>1098</v>
      </c>
      <c r="AE72" s="94">
        <v>97824</v>
      </c>
      <c r="AF72" s="272"/>
      <c r="AG72" s="94">
        <v>4</v>
      </c>
      <c r="AI72" s="83">
        <v>13945</v>
      </c>
      <c r="AK72" s="94">
        <v>277056</v>
      </c>
      <c r="AL72" s="272"/>
      <c r="AM72" s="70">
        <v>2</v>
      </c>
      <c r="AN72" s="70"/>
      <c r="AO72" s="17">
        <v>95624</v>
      </c>
      <c r="AP72" s="70"/>
      <c r="AQ72" s="70">
        <v>3059768</v>
      </c>
      <c r="AR72" s="273"/>
      <c r="AS72" s="70">
        <v>3</v>
      </c>
      <c r="AT72" s="70"/>
      <c r="AU72" s="17">
        <v>898</v>
      </c>
      <c r="AV72" s="70"/>
      <c r="AW72" s="70">
        <v>23640</v>
      </c>
      <c r="AX72" s="273"/>
      <c r="AY72" s="107"/>
      <c r="BA72" s="95"/>
      <c r="BB72" s="95"/>
    </row>
    <row r="73" spans="2:62" s="94" customFormat="1" ht="30" customHeight="1" x14ac:dyDescent="0.2">
      <c r="B73" s="424" t="s">
        <v>35</v>
      </c>
      <c r="C73" s="94">
        <v>4</v>
      </c>
      <c r="E73" s="83">
        <v>2530</v>
      </c>
      <c r="G73" s="94">
        <v>380752</v>
      </c>
      <c r="I73" s="94">
        <v>4</v>
      </c>
      <c r="K73" s="83">
        <v>11238</v>
      </c>
      <c r="M73" s="94">
        <v>240968</v>
      </c>
      <c r="N73" s="106"/>
      <c r="O73" s="94">
        <v>3</v>
      </c>
      <c r="P73" s="95"/>
      <c r="Q73" s="83">
        <v>5218</v>
      </c>
      <c r="R73" s="95"/>
      <c r="S73" s="106">
        <v>478816</v>
      </c>
      <c r="T73" s="106"/>
      <c r="U73" s="94">
        <v>2</v>
      </c>
      <c r="W73" s="83">
        <v>3886</v>
      </c>
      <c r="Y73" s="106">
        <v>282528</v>
      </c>
      <c r="AA73" s="94">
        <v>4</v>
      </c>
      <c r="AC73" s="83">
        <v>613</v>
      </c>
      <c r="AE73" s="94">
        <v>75200</v>
      </c>
      <c r="AF73" s="272"/>
      <c r="AG73" s="94">
        <v>17</v>
      </c>
      <c r="AI73" s="83">
        <v>11494</v>
      </c>
      <c r="AK73" s="94">
        <v>462656</v>
      </c>
      <c r="AL73" s="272"/>
      <c r="AM73" s="772" t="s">
        <v>214</v>
      </c>
      <c r="AN73" s="772"/>
      <c r="AO73" s="772"/>
      <c r="AP73" s="772"/>
      <c r="AQ73" s="772"/>
      <c r="AR73" s="273"/>
      <c r="AS73" s="83">
        <v>4</v>
      </c>
      <c r="AT73" s="83"/>
      <c r="AU73" s="83">
        <v>5161</v>
      </c>
      <c r="AV73" s="83"/>
      <c r="AW73" s="83">
        <v>106968</v>
      </c>
      <c r="AX73" s="273"/>
      <c r="AY73" s="107"/>
      <c r="BA73" s="95"/>
      <c r="BB73" s="95"/>
    </row>
    <row r="74" spans="2:62" s="94" customFormat="1" ht="30" customHeight="1" x14ac:dyDescent="0.2">
      <c r="B74" s="424" t="s">
        <v>36</v>
      </c>
      <c r="C74" s="94">
        <v>9</v>
      </c>
      <c r="D74" s="95"/>
      <c r="E74" s="83">
        <v>4991</v>
      </c>
      <c r="F74" s="95"/>
      <c r="G74" s="94">
        <v>232144</v>
      </c>
      <c r="H74" s="95"/>
      <c r="I74" s="94">
        <v>6</v>
      </c>
      <c r="K74" s="83">
        <v>1945</v>
      </c>
      <c r="M74" s="94">
        <v>112136</v>
      </c>
      <c r="N74" s="106"/>
      <c r="O74" s="94">
        <v>4</v>
      </c>
      <c r="Q74" s="83">
        <v>681</v>
      </c>
      <c r="S74" s="106">
        <v>974896</v>
      </c>
      <c r="T74" s="106"/>
      <c r="U74" s="94">
        <v>3</v>
      </c>
      <c r="W74" s="83">
        <v>845</v>
      </c>
      <c r="Y74" s="106">
        <v>221624</v>
      </c>
      <c r="AA74" s="94">
        <v>2</v>
      </c>
      <c r="AC74" s="83">
        <v>443</v>
      </c>
      <c r="AE74" s="94">
        <v>29100</v>
      </c>
      <c r="AF74" s="272"/>
      <c r="AG74" s="94">
        <v>3</v>
      </c>
      <c r="AI74" s="83">
        <v>681</v>
      </c>
      <c r="AK74" s="94">
        <v>17728</v>
      </c>
      <c r="AL74" s="272"/>
      <c r="AM74" s="70">
        <v>5</v>
      </c>
      <c r="AN74" s="70"/>
      <c r="AO74" s="17">
        <v>1373</v>
      </c>
      <c r="AP74" s="70"/>
      <c r="AQ74" s="70">
        <v>28872</v>
      </c>
      <c r="AR74" s="273"/>
      <c r="AS74" s="70">
        <v>5</v>
      </c>
      <c r="AT74" s="70"/>
      <c r="AU74" s="17">
        <v>6408</v>
      </c>
      <c r="AV74" s="70"/>
      <c r="AW74" s="70">
        <v>144696</v>
      </c>
      <c r="AX74" s="273"/>
      <c r="AY74" s="107"/>
      <c r="BA74" s="95"/>
      <c r="BB74" s="95"/>
    </row>
    <row r="75" spans="2:62" s="104" customFormat="1" ht="30.75" customHeight="1" x14ac:dyDescent="0.2">
      <c r="B75" s="415" t="s">
        <v>6</v>
      </c>
      <c r="C75" s="416">
        <f>SUM(C63:C74)</f>
        <v>95</v>
      </c>
      <c r="D75" s="416"/>
      <c r="E75" s="419">
        <f>SUM(E63:E74)</f>
        <v>40681</v>
      </c>
      <c r="F75" s="416"/>
      <c r="G75" s="416">
        <f>SUM(G63:G74)</f>
        <v>3153018</v>
      </c>
      <c r="H75" s="417"/>
      <c r="I75" s="416">
        <f>SUM(I63:I74)</f>
        <v>47</v>
      </c>
      <c r="J75" s="416"/>
      <c r="K75" s="419">
        <f>SUM(K63:K74)</f>
        <v>32066</v>
      </c>
      <c r="L75" s="416"/>
      <c r="M75" s="416">
        <f>SUM(M63:M74)</f>
        <v>1925632</v>
      </c>
      <c r="N75" s="417"/>
      <c r="O75" s="416">
        <f>SUM(O63:O74)</f>
        <v>41</v>
      </c>
      <c r="P75" s="416"/>
      <c r="Q75" s="419">
        <f>SUM(Q63:Q74)</f>
        <v>20463</v>
      </c>
      <c r="R75" s="416"/>
      <c r="S75" s="416">
        <f>SUM(S63:S74)</f>
        <v>3084056</v>
      </c>
      <c r="T75" s="420"/>
      <c r="U75" s="416">
        <f>SUM(U63:U74)</f>
        <v>45</v>
      </c>
      <c r="V75" s="416"/>
      <c r="W75" s="419">
        <f>SUM(W63:W74)</f>
        <v>56610</v>
      </c>
      <c r="X75" s="416"/>
      <c r="Y75" s="416">
        <f>SUM(Y63:Y74)</f>
        <v>3006494</v>
      </c>
      <c r="Z75" s="417"/>
      <c r="AA75" s="416">
        <f>SUM(AA63:AA74)</f>
        <v>54</v>
      </c>
      <c r="AB75" s="416"/>
      <c r="AC75" s="419">
        <f>SUM(AC63:AC74)</f>
        <v>21496</v>
      </c>
      <c r="AD75" s="416"/>
      <c r="AE75" s="416">
        <f>SUM(AE63:AE74)</f>
        <v>738864</v>
      </c>
      <c r="AF75" s="417"/>
      <c r="AG75" s="416">
        <f>SUM(AG63:AG74)</f>
        <v>67</v>
      </c>
      <c r="AH75" s="416"/>
      <c r="AI75" s="419">
        <f>SUM(AI63:AI74)</f>
        <v>110154</v>
      </c>
      <c r="AJ75" s="416"/>
      <c r="AK75" s="416">
        <f>SUM(AK63:AK74)</f>
        <v>2085856</v>
      </c>
      <c r="AL75" s="417"/>
      <c r="AM75" s="421">
        <f>SUM(AM63:AM74)</f>
        <v>23</v>
      </c>
      <c r="AN75" s="421"/>
      <c r="AO75" s="422">
        <f>SUM(AO63:AO74)</f>
        <v>127868</v>
      </c>
      <c r="AP75" s="421"/>
      <c r="AQ75" s="421">
        <f>SUM(AQ63:AQ74)</f>
        <v>3653184</v>
      </c>
      <c r="AR75" s="423"/>
      <c r="AS75" s="421">
        <f>SUM(AS63:AS74)</f>
        <v>38</v>
      </c>
      <c r="AT75" s="421"/>
      <c r="AU75" s="422">
        <f>SUM(AU63:AU74)</f>
        <v>209142</v>
      </c>
      <c r="AV75" s="421"/>
      <c r="AW75" s="421">
        <f>SUM(AW63:AW74)</f>
        <v>3027240</v>
      </c>
      <c r="AX75" s="421"/>
      <c r="AY75" s="108"/>
      <c r="AZ75" s="108"/>
      <c r="BA75" s="108"/>
      <c r="BB75" s="108"/>
      <c r="BC75" s="108"/>
      <c r="BD75" s="108"/>
      <c r="BE75" s="108"/>
      <c r="BF75" s="108"/>
      <c r="BG75" s="108"/>
    </row>
    <row r="76" spans="2:62" s="104" customFormat="1" ht="21.6" customHeight="1" x14ac:dyDescent="0.2">
      <c r="B76" s="113"/>
      <c r="C76" s="118"/>
      <c r="D76" s="118"/>
      <c r="E76" s="119"/>
      <c r="F76" s="118"/>
      <c r="G76" s="118"/>
      <c r="H76" s="118"/>
      <c r="I76" s="118"/>
      <c r="J76" s="118"/>
      <c r="K76" s="119"/>
      <c r="L76" s="118"/>
      <c r="M76" s="118"/>
      <c r="N76" s="118"/>
      <c r="O76" s="118"/>
      <c r="P76" s="118"/>
      <c r="Q76" s="119"/>
      <c r="R76" s="118"/>
      <c r="S76" s="118"/>
      <c r="T76" s="120"/>
      <c r="U76" s="118"/>
      <c r="V76" s="118"/>
      <c r="W76" s="119"/>
      <c r="X76" s="118"/>
      <c r="Y76" s="118"/>
      <c r="Z76" s="118"/>
      <c r="AA76" s="118"/>
      <c r="AB76" s="118"/>
      <c r="AC76" s="119"/>
      <c r="AD76" s="118"/>
      <c r="AE76" s="118"/>
      <c r="AF76" s="118"/>
      <c r="AG76" s="118"/>
      <c r="AH76" s="118"/>
      <c r="AI76" s="119"/>
      <c r="AJ76" s="118"/>
      <c r="AK76" s="118"/>
      <c r="AL76" s="118"/>
      <c r="AM76" s="121"/>
      <c r="AN76" s="121"/>
      <c r="AO76" s="122"/>
      <c r="AP76" s="121"/>
      <c r="AQ76" s="121"/>
      <c r="AR76" s="121"/>
      <c r="AS76" s="121"/>
      <c r="AT76" s="121"/>
      <c r="AU76" s="122"/>
      <c r="AV76" s="121"/>
      <c r="AW76" s="121"/>
      <c r="AX76" s="121"/>
      <c r="AY76" s="108"/>
      <c r="AZ76" s="108"/>
      <c r="BA76" s="108"/>
      <c r="BB76" s="108"/>
      <c r="BC76" s="108"/>
      <c r="BD76" s="108"/>
      <c r="BE76" s="108"/>
      <c r="BF76" s="108"/>
      <c r="BG76" s="108"/>
    </row>
    <row r="77" spans="2:62" s="104" customFormat="1" ht="25.15" customHeight="1" x14ac:dyDescent="0.2">
      <c r="B77" s="778" t="s">
        <v>24</v>
      </c>
      <c r="C77" s="762" t="s">
        <v>226</v>
      </c>
      <c r="D77" s="763"/>
      <c r="E77" s="763"/>
      <c r="F77" s="763"/>
      <c r="G77" s="763"/>
      <c r="H77" s="763"/>
      <c r="I77" s="763"/>
      <c r="J77" s="763"/>
      <c r="K77" s="763"/>
      <c r="L77" s="763"/>
      <c r="M77" s="763"/>
      <c r="N77" s="763"/>
      <c r="O77" s="763"/>
      <c r="P77" s="763"/>
      <c r="Q77" s="763"/>
      <c r="R77" s="763"/>
      <c r="S77" s="763"/>
      <c r="T77" s="763"/>
      <c r="U77" s="763"/>
      <c r="V77" s="763"/>
      <c r="W77" s="763"/>
      <c r="X77" s="763"/>
      <c r="Y77" s="763"/>
      <c r="Z77" s="763"/>
      <c r="AA77" s="119"/>
      <c r="AB77" s="119"/>
      <c r="AC77" s="119"/>
      <c r="AD77" s="119"/>
      <c r="AE77" s="119"/>
      <c r="AF77" s="119"/>
      <c r="AG77" s="119"/>
      <c r="AH77" s="119"/>
      <c r="AI77" s="119"/>
      <c r="AJ77" s="119"/>
      <c r="AK77" s="119"/>
      <c r="AL77" s="119"/>
      <c r="AM77" s="119"/>
      <c r="AN77" s="119"/>
      <c r="AO77" s="119"/>
      <c r="AP77" s="119"/>
      <c r="AQ77" s="119"/>
      <c r="AR77" s="119"/>
      <c r="AS77" s="119"/>
      <c r="AT77" s="119"/>
      <c r="AU77" s="119"/>
      <c r="AV77" s="119"/>
      <c r="AW77" s="119"/>
      <c r="AX77" s="119"/>
      <c r="AY77" s="112"/>
      <c r="AZ77" s="112"/>
      <c r="BA77" s="112"/>
      <c r="BB77" s="112"/>
      <c r="BC77" s="112"/>
      <c r="BD77" s="112"/>
      <c r="BE77" s="112"/>
      <c r="BF77" s="112"/>
      <c r="BG77" s="112"/>
      <c r="BH77" s="112"/>
      <c r="BI77" s="112"/>
      <c r="BJ77" s="112"/>
    </row>
    <row r="78" spans="2:62" s="104" customFormat="1" ht="25.15" customHeight="1" x14ac:dyDescent="0.2">
      <c r="B78" s="764"/>
      <c r="C78" s="764">
        <v>2022</v>
      </c>
      <c r="D78" s="764"/>
      <c r="E78" s="764"/>
      <c r="F78" s="764"/>
      <c r="G78" s="764"/>
      <c r="H78" s="764"/>
      <c r="I78" s="764">
        <v>2023</v>
      </c>
      <c r="J78" s="764"/>
      <c r="K78" s="764"/>
      <c r="L78" s="764"/>
      <c r="M78" s="764"/>
      <c r="N78" s="764"/>
      <c r="O78" s="764">
        <v>2024</v>
      </c>
      <c r="P78" s="764"/>
      <c r="Q78" s="764"/>
      <c r="R78" s="764"/>
      <c r="S78" s="764"/>
      <c r="T78" s="764"/>
      <c r="U78" s="764">
        <v>2025</v>
      </c>
      <c r="V78" s="764"/>
      <c r="W78" s="764"/>
      <c r="X78" s="764"/>
      <c r="Y78" s="764"/>
      <c r="Z78" s="764"/>
      <c r="AA78" s="765"/>
      <c r="AB78" s="765"/>
      <c r="AC78" s="765"/>
      <c r="AD78" s="765"/>
      <c r="AE78" s="765"/>
      <c r="AF78" s="765"/>
      <c r="AG78" s="765"/>
      <c r="AH78" s="765"/>
      <c r="AI78" s="765"/>
      <c r="AJ78" s="765"/>
      <c r="AK78" s="765"/>
      <c r="AL78" s="765"/>
      <c r="AM78" s="765"/>
      <c r="AN78" s="765"/>
      <c r="AO78" s="765"/>
      <c r="AP78" s="765"/>
      <c r="AQ78" s="765"/>
      <c r="AR78" s="765"/>
      <c r="AS78" s="765"/>
      <c r="AT78" s="765"/>
      <c r="AU78" s="765"/>
      <c r="AV78" s="765"/>
      <c r="AW78" s="765"/>
      <c r="AX78" s="765"/>
      <c r="AY78" s="112"/>
      <c r="AZ78" s="112"/>
      <c r="BA78" s="112"/>
      <c r="BB78" s="112"/>
      <c r="BC78" s="112"/>
      <c r="BD78" s="112"/>
      <c r="BE78" s="112"/>
      <c r="BF78" s="112"/>
      <c r="BG78" s="112"/>
      <c r="BH78" s="112"/>
      <c r="BI78" s="112"/>
      <c r="BJ78" s="112"/>
    </row>
    <row r="79" spans="2:62" s="104" customFormat="1" ht="25.15" customHeight="1" x14ac:dyDescent="0.2">
      <c r="B79" s="781"/>
      <c r="C79" s="766" t="s">
        <v>176</v>
      </c>
      <c r="D79" s="767"/>
      <c r="E79" s="768" t="s">
        <v>210</v>
      </c>
      <c r="F79" s="767"/>
      <c r="G79" s="768" t="s">
        <v>211</v>
      </c>
      <c r="H79" s="766"/>
      <c r="I79" s="766" t="s">
        <v>176</v>
      </c>
      <c r="J79" s="767"/>
      <c r="K79" s="768" t="s">
        <v>210</v>
      </c>
      <c r="L79" s="767"/>
      <c r="M79" s="768" t="s">
        <v>211</v>
      </c>
      <c r="N79" s="766"/>
      <c r="O79" s="766" t="s">
        <v>176</v>
      </c>
      <c r="P79" s="767"/>
      <c r="Q79" s="768" t="s">
        <v>210</v>
      </c>
      <c r="R79" s="767"/>
      <c r="S79" s="768" t="s">
        <v>211</v>
      </c>
      <c r="T79" s="766"/>
      <c r="U79" s="766" t="s">
        <v>176</v>
      </c>
      <c r="V79" s="767"/>
      <c r="W79" s="768" t="s">
        <v>210</v>
      </c>
      <c r="X79" s="767"/>
      <c r="Y79" s="768" t="s">
        <v>211</v>
      </c>
      <c r="Z79" s="766"/>
      <c r="AA79" s="769"/>
      <c r="AB79" s="769"/>
      <c r="AC79" s="769"/>
      <c r="AD79" s="769"/>
      <c r="AE79" s="769"/>
      <c r="AF79" s="769"/>
      <c r="AG79" s="769"/>
      <c r="AH79" s="769"/>
      <c r="AI79" s="769"/>
      <c r="AJ79" s="769"/>
      <c r="AK79" s="769"/>
      <c r="AL79" s="769"/>
      <c r="AM79" s="769"/>
      <c r="AN79" s="769"/>
      <c r="AO79" s="769"/>
      <c r="AP79" s="769"/>
      <c r="AQ79" s="769"/>
      <c r="AR79" s="769"/>
      <c r="AS79" s="769"/>
      <c r="AT79" s="769"/>
      <c r="AU79" s="769"/>
      <c r="AV79" s="769"/>
      <c r="AW79" s="769"/>
      <c r="AX79" s="769"/>
      <c r="AY79" s="105"/>
      <c r="AZ79" s="105"/>
      <c r="BA79" s="105"/>
      <c r="BB79" s="105"/>
      <c r="BC79" s="105"/>
      <c r="BD79" s="105"/>
      <c r="BE79" s="105"/>
      <c r="BF79" s="105"/>
      <c r="BG79" s="105"/>
    </row>
    <row r="80" spans="2:62" s="94" customFormat="1" ht="30" customHeight="1" x14ac:dyDescent="0.2">
      <c r="B80" s="424" t="s">
        <v>25</v>
      </c>
      <c r="C80" s="254">
        <v>3</v>
      </c>
      <c r="E80" s="254">
        <v>2441</v>
      </c>
      <c r="G80" s="254">
        <v>285544</v>
      </c>
      <c r="I80" s="95">
        <v>1</v>
      </c>
      <c r="K80" s="95">
        <v>23</v>
      </c>
      <c r="M80" s="94">
        <v>13672</v>
      </c>
      <c r="O80" s="267">
        <v>2</v>
      </c>
      <c r="P80" s="42"/>
      <c r="Q80" s="680">
        <v>281</v>
      </c>
      <c r="R80" s="42"/>
      <c r="S80" s="680">
        <v>12752</v>
      </c>
      <c r="U80" s="267">
        <v>2</v>
      </c>
      <c r="V80" s="42"/>
      <c r="W80" s="535">
        <v>60</v>
      </c>
      <c r="X80" s="42"/>
      <c r="Y80" s="680">
        <v>76032</v>
      </c>
      <c r="AA80" s="106"/>
      <c r="AB80" s="106"/>
      <c r="AC80" s="123"/>
      <c r="AD80" s="106"/>
      <c r="AE80" s="106"/>
      <c r="AF80" s="124"/>
      <c r="AG80" s="106"/>
      <c r="AH80" s="106"/>
      <c r="AI80" s="123"/>
      <c r="AJ80" s="106"/>
      <c r="AK80" s="106"/>
      <c r="AL80" s="124"/>
      <c r="AM80" s="125"/>
      <c r="AN80" s="125"/>
      <c r="AO80" s="126"/>
      <c r="AP80" s="125"/>
      <c r="AQ80" s="125"/>
      <c r="AR80" s="127"/>
      <c r="AS80" s="125"/>
      <c r="AT80" s="125"/>
      <c r="AU80" s="126"/>
      <c r="AV80" s="125"/>
      <c r="AW80" s="125"/>
      <c r="AX80" s="127"/>
      <c r="AY80" s="106"/>
      <c r="BB80" s="95"/>
    </row>
    <row r="81" spans="2:59" s="94" customFormat="1" ht="30" customHeight="1" x14ac:dyDescent="0.2">
      <c r="B81" s="424" t="s">
        <v>26</v>
      </c>
      <c r="C81" s="254">
        <v>3</v>
      </c>
      <c r="E81" s="254">
        <v>410</v>
      </c>
      <c r="G81" s="254">
        <v>280840</v>
      </c>
      <c r="I81" s="275" t="s">
        <v>8</v>
      </c>
      <c r="K81" s="95" t="s">
        <v>8</v>
      </c>
      <c r="M81" s="94">
        <v>4416</v>
      </c>
      <c r="N81" s="276" t="s">
        <v>62</v>
      </c>
      <c r="O81" s="267">
        <v>3</v>
      </c>
      <c r="P81" s="42"/>
      <c r="Q81" s="680">
        <v>5250</v>
      </c>
      <c r="R81" s="42"/>
      <c r="S81" s="680">
        <v>55200</v>
      </c>
      <c r="T81" s="276"/>
      <c r="U81" s="267">
        <v>3</v>
      </c>
      <c r="V81" s="42"/>
      <c r="W81" s="534">
        <v>130</v>
      </c>
      <c r="X81" s="42"/>
      <c r="Y81" s="680">
        <v>18464</v>
      </c>
      <c r="Z81" s="276"/>
      <c r="AA81" s="106"/>
      <c r="AB81" s="106"/>
      <c r="AC81" s="123"/>
      <c r="AD81" s="106"/>
      <c r="AE81" s="106"/>
      <c r="AF81" s="124"/>
      <c r="AG81" s="106"/>
      <c r="AH81" s="106"/>
      <c r="AI81" s="123"/>
      <c r="AJ81" s="106"/>
      <c r="AK81" s="106"/>
      <c r="AL81" s="124"/>
      <c r="AM81" s="125"/>
      <c r="AN81" s="125"/>
      <c r="AO81" s="126"/>
      <c r="AP81" s="125"/>
      <c r="AQ81" s="125"/>
      <c r="AR81" s="127"/>
      <c r="AS81" s="125"/>
      <c r="AT81" s="125"/>
      <c r="AU81" s="126"/>
      <c r="AV81" s="125"/>
      <c r="AW81" s="125"/>
      <c r="AX81" s="127"/>
      <c r="AY81" s="107"/>
      <c r="BA81" s="95"/>
      <c r="BB81" s="95"/>
    </row>
    <row r="82" spans="2:59" s="94" customFormat="1" ht="30" customHeight="1" x14ac:dyDescent="0.2">
      <c r="B82" s="424" t="s">
        <v>27</v>
      </c>
      <c r="C82" s="254">
        <v>2</v>
      </c>
      <c r="E82" s="254">
        <v>110</v>
      </c>
      <c r="G82" s="254">
        <v>137976</v>
      </c>
      <c r="I82" s="94">
        <v>2</v>
      </c>
      <c r="K82" s="94">
        <v>643</v>
      </c>
      <c r="M82" s="94">
        <v>29400</v>
      </c>
      <c r="O82" s="267">
        <v>3</v>
      </c>
      <c r="P82" s="42"/>
      <c r="Q82" s="680">
        <v>283</v>
      </c>
      <c r="R82" s="42"/>
      <c r="S82" s="680">
        <v>15488</v>
      </c>
      <c r="U82" s="267">
        <v>3</v>
      </c>
      <c r="V82" s="42"/>
      <c r="W82" s="534">
        <v>965</v>
      </c>
      <c r="X82" s="42"/>
      <c r="Y82" s="680">
        <v>34168</v>
      </c>
      <c r="AA82" s="106"/>
      <c r="AB82" s="106"/>
      <c r="AC82" s="123"/>
      <c r="AD82" s="106"/>
      <c r="AE82" s="106"/>
      <c r="AF82" s="124"/>
      <c r="AG82" s="106"/>
      <c r="AH82" s="106"/>
      <c r="AI82" s="123"/>
      <c r="AJ82" s="106"/>
      <c r="AK82" s="106"/>
      <c r="AL82" s="124"/>
      <c r="AM82" s="125"/>
      <c r="AN82" s="125"/>
      <c r="AO82" s="126"/>
      <c r="AP82" s="125"/>
      <c r="AQ82" s="125"/>
      <c r="AR82" s="127"/>
      <c r="AS82" s="125"/>
      <c r="AT82" s="125"/>
      <c r="AU82" s="126"/>
      <c r="AV82" s="125"/>
      <c r="AW82" s="125"/>
      <c r="AX82" s="127"/>
      <c r="AY82" s="106"/>
    </row>
    <row r="83" spans="2:59" s="94" customFormat="1" ht="30" customHeight="1" x14ac:dyDescent="0.2">
      <c r="B83" s="424" t="s">
        <v>28</v>
      </c>
      <c r="C83" s="254">
        <v>6</v>
      </c>
      <c r="E83" s="254">
        <v>3804</v>
      </c>
      <c r="G83" s="254">
        <v>177928</v>
      </c>
      <c r="I83" s="94">
        <v>3</v>
      </c>
      <c r="K83" s="94">
        <v>2018</v>
      </c>
      <c r="M83" s="94">
        <v>110512</v>
      </c>
      <c r="O83" s="267">
        <v>3</v>
      </c>
      <c r="P83" s="42"/>
      <c r="Q83" s="680">
        <v>530</v>
      </c>
      <c r="R83" s="42"/>
      <c r="S83" s="680">
        <v>15936</v>
      </c>
      <c r="U83" s="267">
        <v>5</v>
      </c>
      <c r="V83" s="42"/>
      <c r="W83" s="534">
        <v>554</v>
      </c>
      <c r="X83" s="42"/>
      <c r="Y83" s="680">
        <v>29968</v>
      </c>
      <c r="AA83" s="106"/>
      <c r="AB83" s="106"/>
      <c r="AC83" s="123"/>
      <c r="AD83" s="106"/>
      <c r="AE83" s="106"/>
      <c r="AF83" s="124"/>
      <c r="AG83" s="106"/>
      <c r="AH83" s="106"/>
      <c r="AI83" s="123"/>
      <c r="AJ83" s="106"/>
      <c r="AK83" s="106"/>
      <c r="AL83" s="124"/>
      <c r="AM83" s="125"/>
      <c r="AN83" s="125"/>
      <c r="AO83" s="126"/>
      <c r="AP83" s="125"/>
      <c r="AQ83" s="125"/>
      <c r="AR83" s="127"/>
      <c r="AS83" s="125"/>
      <c r="AT83" s="125"/>
      <c r="AU83" s="126"/>
      <c r="AV83" s="125"/>
      <c r="AW83" s="125"/>
      <c r="AX83" s="127"/>
      <c r="AY83" s="106"/>
    </row>
    <row r="84" spans="2:59" s="94" customFormat="1" ht="30" customHeight="1" x14ac:dyDescent="0.2">
      <c r="B84" s="424" t="s">
        <v>29</v>
      </c>
      <c r="C84" s="254">
        <v>3</v>
      </c>
      <c r="E84" s="254">
        <v>528</v>
      </c>
      <c r="G84" s="254">
        <v>243224</v>
      </c>
      <c r="I84" s="94">
        <v>5</v>
      </c>
      <c r="K84" s="94">
        <v>28190</v>
      </c>
      <c r="M84" s="94">
        <v>229616</v>
      </c>
      <c r="O84" s="267">
        <v>6</v>
      </c>
      <c r="P84" s="42"/>
      <c r="Q84" s="680">
        <v>6609</v>
      </c>
      <c r="R84" s="42"/>
      <c r="S84" s="680">
        <v>32440</v>
      </c>
      <c r="U84" s="267">
        <v>4</v>
      </c>
      <c r="V84" s="42"/>
      <c r="W84" s="534">
        <v>399</v>
      </c>
      <c r="X84" s="42"/>
      <c r="Y84" s="680">
        <v>38920</v>
      </c>
      <c r="AA84" s="106"/>
      <c r="AB84" s="106"/>
      <c r="AC84" s="123"/>
      <c r="AD84" s="106"/>
      <c r="AE84" s="106"/>
      <c r="AF84" s="124"/>
      <c r="AG84" s="106"/>
      <c r="AH84" s="106"/>
      <c r="AI84" s="123"/>
      <c r="AJ84" s="106"/>
      <c r="AK84" s="106"/>
      <c r="AL84" s="124"/>
      <c r="AM84" s="125"/>
      <c r="AN84" s="125"/>
      <c r="AO84" s="126"/>
      <c r="AP84" s="125"/>
      <c r="AQ84" s="125"/>
      <c r="AR84" s="127"/>
      <c r="AS84" s="125"/>
      <c r="AT84" s="125"/>
      <c r="AU84" s="126"/>
      <c r="AV84" s="125"/>
      <c r="AW84" s="125"/>
      <c r="AX84" s="127"/>
      <c r="AY84" s="107"/>
      <c r="BA84" s="95"/>
      <c r="BB84" s="95"/>
    </row>
    <row r="85" spans="2:59" s="94" customFormat="1" ht="30" customHeight="1" x14ac:dyDescent="0.2">
      <c r="B85" s="424" t="s">
        <v>30</v>
      </c>
      <c r="C85" s="254">
        <v>1</v>
      </c>
      <c r="E85" s="254">
        <v>118</v>
      </c>
      <c r="G85" s="254">
        <v>21576</v>
      </c>
      <c r="I85" s="94">
        <v>3</v>
      </c>
      <c r="K85" s="94">
        <v>1040</v>
      </c>
      <c r="M85" s="94">
        <v>75040</v>
      </c>
      <c r="O85" s="267">
        <v>2</v>
      </c>
      <c r="P85" s="42"/>
      <c r="Q85" s="680">
        <v>1574</v>
      </c>
      <c r="R85" s="42"/>
      <c r="S85" s="680">
        <v>63416</v>
      </c>
      <c r="U85" s="267">
        <v>9</v>
      </c>
      <c r="V85" s="42"/>
      <c r="W85" s="534">
        <v>1182</v>
      </c>
      <c r="X85" s="42"/>
      <c r="Y85" s="680">
        <v>33736</v>
      </c>
      <c r="AA85" s="106"/>
      <c r="AB85" s="106"/>
      <c r="AC85" s="123"/>
      <c r="AD85" s="106"/>
      <c r="AE85" s="106"/>
      <c r="AF85" s="124"/>
      <c r="AG85" s="106"/>
      <c r="AH85" s="106"/>
      <c r="AI85" s="123"/>
      <c r="AJ85" s="106"/>
      <c r="AK85" s="106"/>
      <c r="AL85" s="124"/>
      <c r="AM85" s="125"/>
      <c r="AN85" s="125"/>
      <c r="AO85" s="126"/>
      <c r="AP85" s="125"/>
      <c r="AQ85" s="125"/>
      <c r="AR85" s="127"/>
      <c r="AS85" s="125"/>
      <c r="AT85" s="125"/>
      <c r="AU85" s="126"/>
      <c r="AV85" s="125"/>
      <c r="AW85" s="125"/>
      <c r="AX85" s="127"/>
      <c r="AY85" s="106"/>
      <c r="BA85" s="95"/>
    </row>
    <row r="86" spans="2:59" s="94" customFormat="1" ht="30" customHeight="1" x14ac:dyDescent="0.2">
      <c r="B86" s="424" t="s">
        <v>31</v>
      </c>
      <c r="C86" s="254">
        <v>1</v>
      </c>
      <c r="E86" s="254">
        <v>680</v>
      </c>
      <c r="G86" s="254">
        <v>12560</v>
      </c>
      <c r="I86" s="94">
        <v>5</v>
      </c>
      <c r="K86" s="94">
        <v>5737</v>
      </c>
      <c r="M86" s="94">
        <v>290888</v>
      </c>
      <c r="O86" s="267">
        <v>5</v>
      </c>
      <c r="P86" s="42"/>
      <c r="Q86" s="680">
        <v>1300</v>
      </c>
      <c r="R86" s="42"/>
      <c r="S86" s="680">
        <v>55648</v>
      </c>
      <c r="U86" s="267">
        <v>4</v>
      </c>
      <c r="V86" s="42"/>
      <c r="W86" s="534">
        <v>4061</v>
      </c>
      <c r="X86" s="42"/>
      <c r="Y86" s="680">
        <v>100908</v>
      </c>
      <c r="AA86" s="106"/>
      <c r="AB86" s="106"/>
      <c r="AC86" s="123"/>
      <c r="AD86" s="106"/>
      <c r="AE86" s="106"/>
      <c r="AF86" s="124"/>
      <c r="AG86" s="106"/>
      <c r="AH86" s="106"/>
      <c r="AI86" s="123"/>
      <c r="AJ86" s="106"/>
      <c r="AK86" s="106"/>
      <c r="AL86" s="124"/>
      <c r="AM86" s="125"/>
      <c r="AN86" s="125"/>
      <c r="AO86" s="126"/>
      <c r="AP86" s="125"/>
      <c r="AQ86" s="125"/>
      <c r="AR86" s="127"/>
      <c r="AS86" s="125"/>
      <c r="AT86" s="125"/>
      <c r="AU86" s="126"/>
      <c r="AV86" s="125"/>
      <c r="AW86" s="125"/>
      <c r="AX86" s="127"/>
      <c r="AY86" s="107"/>
      <c r="AZ86" s="112"/>
      <c r="BA86" s="95"/>
      <c r="BB86" s="95"/>
    </row>
    <row r="87" spans="2:59" s="94" customFormat="1" ht="30" customHeight="1" x14ac:dyDescent="0.2">
      <c r="B87" s="424" t="s">
        <v>32</v>
      </c>
      <c r="C87" s="254">
        <v>6</v>
      </c>
      <c r="E87" s="254">
        <v>10750</v>
      </c>
      <c r="G87" s="254">
        <v>583992</v>
      </c>
      <c r="I87" s="94">
        <v>7</v>
      </c>
      <c r="K87" s="94">
        <v>11217</v>
      </c>
      <c r="M87" s="94">
        <v>112848</v>
      </c>
      <c r="O87" s="267">
        <v>9</v>
      </c>
      <c r="P87" s="42"/>
      <c r="Q87" s="680">
        <v>18762</v>
      </c>
      <c r="R87" s="42"/>
      <c r="S87" s="680">
        <v>760496</v>
      </c>
      <c r="U87" s="267">
        <v>5</v>
      </c>
      <c r="V87" s="42"/>
      <c r="W87" s="534">
        <v>2258</v>
      </c>
      <c r="X87" s="42"/>
      <c r="Y87" s="680">
        <v>197336</v>
      </c>
      <c r="AA87" s="106"/>
      <c r="AB87" s="106"/>
      <c r="AC87" s="123"/>
      <c r="AD87" s="106"/>
      <c r="AE87" s="106"/>
      <c r="AF87" s="124"/>
      <c r="AG87" s="770"/>
      <c r="AH87" s="770"/>
      <c r="AI87" s="770"/>
      <c r="AJ87" s="770"/>
      <c r="AK87" s="770"/>
      <c r="AL87" s="124"/>
      <c r="AM87" s="126"/>
      <c r="AN87" s="126"/>
      <c r="AO87" s="126"/>
      <c r="AP87" s="125"/>
      <c r="AQ87" s="125"/>
      <c r="AR87" s="127"/>
      <c r="AS87" s="126"/>
      <c r="AT87" s="126"/>
      <c r="AU87" s="126"/>
      <c r="AV87" s="125"/>
      <c r="AW87" s="125"/>
      <c r="AX87" s="127"/>
      <c r="AY87" s="106"/>
    </row>
    <row r="88" spans="2:59" s="94" customFormat="1" ht="30" customHeight="1" x14ac:dyDescent="0.2">
      <c r="B88" s="424" t="s">
        <v>33</v>
      </c>
      <c r="C88" s="254">
        <v>2</v>
      </c>
      <c r="E88" s="254">
        <v>1417</v>
      </c>
      <c r="G88" s="254">
        <v>102760</v>
      </c>
      <c r="I88" s="94">
        <v>12</v>
      </c>
      <c r="K88" s="94">
        <v>20377</v>
      </c>
      <c r="M88" s="94">
        <v>417233</v>
      </c>
      <c r="O88" s="267">
        <v>4</v>
      </c>
      <c r="P88" s="42"/>
      <c r="Q88" s="680">
        <v>597</v>
      </c>
      <c r="R88" s="42"/>
      <c r="S88" s="680">
        <v>347744</v>
      </c>
      <c r="U88" s="267">
        <v>11</v>
      </c>
      <c r="V88" s="42"/>
      <c r="W88" s="534">
        <v>18268</v>
      </c>
      <c r="X88" s="42"/>
      <c r="Y88" s="680">
        <v>1383394</v>
      </c>
      <c r="AA88" s="106"/>
      <c r="AB88" s="106"/>
      <c r="AC88" s="123"/>
      <c r="AD88" s="106"/>
      <c r="AE88" s="106"/>
      <c r="AF88" s="124"/>
      <c r="AG88" s="106"/>
      <c r="AH88" s="106"/>
      <c r="AI88" s="123"/>
      <c r="AJ88" s="106"/>
      <c r="AK88" s="106"/>
      <c r="AL88" s="124"/>
      <c r="AM88" s="125"/>
      <c r="AN88" s="125"/>
      <c r="AO88" s="126"/>
      <c r="AP88" s="125"/>
      <c r="AQ88" s="125"/>
      <c r="AR88" s="127"/>
      <c r="AS88" s="125"/>
      <c r="AT88" s="125"/>
      <c r="AU88" s="126"/>
      <c r="AV88" s="125"/>
      <c r="AW88" s="125"/>
      <c r="AX88" s="127"/>
      <c r="AY88" s="106"/>
      <c r="BB88" s="95"/>
    </row>
    <row r="89" spans="2:59" s="94" customFormat="1" ht="30" customHeight="1" x14ac:dyDescent="0.2">
      <c r="B89" s="424" t="s">
        <v>34</v>
      </c>
      <c r="C89" s="254">
        <v>4</v>
      </c>
      <c r="E89" s="254">
        <v>5550</v>
      </c>
      <c r="G89" s="254">
        <v>73360</v>
      </c>
      <c r="I89" s="94">
        <v>6</v>
      </c>
      <c r="K89" s="94">
        <v>3840</v>
      </c>
      <c r="M89" s="94">
        <v>65112</v>
      </c>
      <c r="O89" s="267">
        <v>6</v>
      </c>
      <c r="P89" s="42"/>
      <c r="Q89" s="680">
        <v>10650</v>
      </c>
      <c r="R89" s="42"/>
      <c r="S89" s="680">
        <v>149040</v>
      </c>
      <c r="U89" s="267">
        <v>4</v>
      </c>
      <c r="V89" s="42"/>
      <c r="W89" s="534">
        <v>8677</v>
      </c>
      <c r="X89" s="42"/>
      <c r="Y89" s="680">
        <v>138376</v>
      </c>
      <c r="AA89" s="106"/>
      <c r="AB89" s="106"/>
      <c r="AC89" s="123"/>
      <c r="AD89" s="106"/>
      <c r="AE89" s="106"/>
      <c r="AF89" s="124"/>
      <c r="AG89" s="106"/>
      <c r="AH89" s="106"/>
      <c r="AI89" s="123"/>
      <c r="AJ89" s="106"/>
      <c r="AK89" s="106"/>
      <c r="AL89" s="124"/>
      <c r="AM89" s="125"/>
      <c r="AN89" s="125"/>
      <c r="AO89" s="126"/>
      <c r="AP89" s="125"/>
      <c r="AQ89" s="125"/>
      <c r="AR89" s="127"/>
      <c r="AS89" s="125"/>
      <c r="AT89" s="125"/>
      <c r="AU89" s="126"/>
      <c r="AV89" s="125"/>
      <c r="AW89" s="125"/>
      <c r="AX89" s="127"/>
      <c r="AY89" s="107"/>
      <c r="BA89" s="95"/>
      <c r="BB89" s="95"/>
    </row>
    <row r="90" spans="2:59" s="94" customFormat="1" ht="30" customHeight="1" x14ac:dyDescent="0.2">
      <c r="B90" s="424" t="s">
        <v>35</v>
      </c>
      <c r="C90" s="254">
        <v>7</v>
      </c>
      <c r="E90" s="254">
        <v>2315</v>
      </c>
      <c r="G90" s="254">
        <v>104928</v>
      </c>
      <c r="I90" s="94">
        <v>7</v>
      </c>
      <c r="K90" s="94">
        <v>3203</v>
      </c>
      <c r="M90" s="94">
        <v>82944</v>
      </c>
      <c r="O90" s="267">
        <v>15</v>
      </c>
      <c r="P90" s="42"/>
      <c r="Q90" s="680">
        <v>30450</v>
      </c>
      <c r="R90" s="42"/>
      <c r="S90" s="680">
        <v>471876</v>
      </c>
      <c r="U90" s="267">
        <v>7</v>
      </c>
      <c r="V90" s="42"/>
      <c r="W90" s="534">
        <v>36922</v>
      </c>
      <c r="X90" s="42"/>
      <c r="Y90" s="680">
        <v>4700512</v>
      </c>
      <c r="AA90" s="106"/>
      <c r="AB90" s="106"/>
      <c r="AC90" s="123"/>
      <c r="AD90" s="106"/>
      <c r="AE90" s="106"/>
      <c r="AF90" s="124"/>
      <c r="AG90" s="106"/>
      <c r="AH90" s="106"/>
      <c r="AI90" s="123"/>
      <c r="AJ90" s="106"/>
      <c r="AK90" s="106"/>
      <c r="AL90" s="124"/>
      <c r="AM90" s="770"/>
      <c r="AN90" s="770"/>
      <c r="AO90" s="770"/>
      <c r="AP90" s="770"/>
      <c r="AQ90" s="770"/>
      <c r="AR90" s="127"/>
      <c r="AS90" s="123"/>
      <c r="AT90" s="123"/>
      <c r="AU90" s="123"/>
      <c r="AV90" s="123"/>
      <c r="AW90" s="123"/>
      <c r="AX90" s="127"/>
      <c r="AY90" s="107"/>
      <c r="BA90" s="95"/>
      <c r="BB90" s="95"/>
    </row>
    <row r="91" spans="2:59" s="94" customFormat="1" ht="30" customHeight="1" x14ac:dyDescent="0.2">
      <c r="B91" s="424" t="s">
        <v>36</v>
      </c>
      <c r="C91" s="254">
        <v>3</v>
      </c>
      <c r="D91" s="95"/>
      <c r="E91" s="254">
        <v>1022</v>
      </c>
      <c r="F91" s="95"/>
      <c r="G91" s="254">
        <v>98244</v>
      </c>
      <c r="H91" s="95"/>
      <c r="I91" s="94">
        <v>4</v>
      </c>
      <c r="J91" s="95"/>
      <c r="K91" s="94">
        <v>1595</v>
      </c>
      <c r="L91" s="95"/>
      <c r="M91" s="94">
        <v>30328</v>
      </c>
      <c r="N91" s="95"/>
      <c r="O91" s="267">
        <v>5</v>
      </c>
      <c r="P91" s="43"/>
      <c r="Q91" s="680">
        <v>418</v>
      </c>
      <c r="R91" s="43"/>
      <c r="S91" s="680">
        <v>315480</v>
      </c>
      <c r="T91" s="95"/>
      <c r="U91" s="267">
        <v>1</v>
      </c>
      <c r="V91" s="43"/>
      <c r="W91" s="534">
        <v>890</v>
      </c>
      <c r="X91" s="43"/>
      <c r="Y91" s="680">
        <v>1029920</v>
      </c>
      <c r="Z91" s="95"/>
      <c r="AA91" s="106"/>
      <c r="AB91" s="106"/>
      <c r="AC91" s="123"/>
      <c r="AD91" s="106"/>
      <c r="AE91" s="106"/>
      <c r="AF91" s="124"/>
      <c r="AG91" s="106"/>
      <c r="AH91" s="106"/>
      <c r="AI91" s="123"/>
      <c r="AJ91" s="106"/>
      <c r="AK91" s="106"/>
      <c r="AL91" s="124"/>
      <c r="AM91" s="125"/>
      <c r="AN91" s="125"/>
      <c r="AO91" s="126"/>
      <c r="AP91" s="125"/>
      <c r="AQ91" s="125"/>
      <c r="AR91" s="127"/>
      <c r="AS91" s="125"/>
      <c r="AT91" s="125"/>
      <c r="AU91" s="126"/>
      <c r="AV91" s="125"/>
      <c r="AW91" s="125"/>
      <c r="AX91" s="127"/>
      <c r="AY91" s="107"/>
      <c r="BA91" s="95"/>
      <c r="BB91" s="95"/>
    </row>
    <row r="92" spans="2:59" s="104" customFormat="1" ht="30.75" customHeight="1" x14ac:dyDescent="0.2">
      <c r="B92" s="415" t="s">
        <v>6</v>
      </c>
      <c r="C92" s="416">
        <f>SUM(C80:C91)</f>
        <v>41</v>
      </c>
      <c r="D92" s="416"/>
      <c r="E92" s="419">
        <f>SUM(E80:E91)</f>
        <v>29145</v>
      </c>
      <c r="F92" s="416"/>
      <c r="G92" s="416">
        <f>SUM(G80:G91)</f>
        <v>2122932</v>
      </c>
      <c r="H92" s="417"/>
      <c r="I92" s="416">
        <f>SUM(I80:I91)</f>
        <v>55</v>
      </c>
      <c r="J92" s="416"/>
      <c r="K92" s="419">
        <f>SUM(K80:K91)</f>
        <v>77883</v>
      </c>
      <c r="L92" s="416"/>
      <c r="M92" s="416">
        <f>SUM(M80:M91)</f>
        <v>1462009</v>
      </c>
      <c r="N92" s="416"/>
      <c r="O92" s="509">
        <f>SUM(O80:O91)</f>
        <v>63</v>
      </c>
      <c r="P92" s="509"/>
      <c r="Q92" s="510">
        <f>SUM(Q80:Q91)</f>
        <v>76704</v>
      </c>
      <c r="R92" s="509"/>
      <c r="S92" s="509">
        <f>SUM(S80:S91)</f>
        <v>2295516</v>
      </c>
      <c r="T92" s="416"/>
      <c r="U92" s="509">
        <f>SUM(U80:U91)</f>
        <v>58</v>
      </c>
      <c r="V92" s="509"/>
      <c r="W92" s="510">
        <f>SUM(W80:W91)</f>
        <v>74366</v>
      </c>
      <c r="X92" s="509"/>
      <c r="Y92" s="509">
        <f>SUM(Y80:Y91)</f>
        <v>7781734</v>
      </c>
      <c r="Z92" s="416"/>
      <c r="AA92" s="118"/>
      <c r="AB92" s="118"/>
      <c r="AC92" s="119"/>
      <c r="AD92" s="118"/>
      <c r="AE92" s="118"/>
      <c r="AF92" s="118"/>
      <c r="AG92" s="118"/>
      <c r="AH92" s="118"/>
      <c r="AI92" s="119"/>
      <c r="AJ92" s="118"/>
      <c r="AK92" s="118"/>
      <c r="AL92" s="118"/>
      <c r="AM92" s="121"/>
      <c r="AN92" s="121"/>
      <c r="AO92" s="122"/>
      <c r="AP92" s="121"/>
      <c r="AQ92" s="121"/>
      <c r="AR92" s="121"/>
      <c r="AS92" s="121"/>
      <c r="AT92" s="121"/>
      <c r="AU92" s="122"/>
      <c r="AV92" s="121"/>
      <c r="AW92" s="121"/>
      <c r="AX92" s="121"/>
      <c r="AY92" s="108"/>
      <c r="AZ92" s="108"/>
      <c r="BA92" s="108"/>
      <c r="BB92" s="108"/>
      <c r="BC92" s="108"/>
      <c r="BD92" s="108"/>
      <c r="BE92" s="108"/>
      <c r="BF92" s="108"/>
      <c r="BG92" s="108"/>
    </row>
    <row r="93" spans="2:59" s="104" customFormat="1" ht="16.899999999999999" customHeight="1" x14ac:dyDescent="0.2">
      <c r="B93" s="113"/>
      <c r="C93" s="118"/>
      <c r="D93" s="118"/>
      <c r="E93" s="119"/>
      <c r="F93" s="118"/>
      <c r="G93" s="118"/>
      <c r="H93" s="118"/>
      <c r="I93" s="118"/>
      <c r="J93" s="118"/>
      <c r="K93" s="119"/>
      <c r="L93" s="118"/>
      <c r="M93" s="118"/>
      <c r="N93" s="118"/>
      <c r="O93" s="118"/>
      <c r="P93" s="118"/>
      <c r="Q93" s="119"/>
      <c r="R93" s="118"/>
      <c r="S93" s="118"/>
      <c r="T93" s="120"/>
      <c r="U93" s="118"/>
      <c r="V93" s="118"/>
      <c r="W93" s="119"/>
      <c r="X93" s="118"/>
      <c r="Y93" s="118"/>
      <c r="Z93" s="118"/>
      <c r="AA93" s="118"/>
      <c r="AB93" s="118"/>
      <c r="AC93" s="119"/>
      <c r="AD93" s="118"/>
      <c r="AE93" s="118"/>
      <c r="AF93" s="118"/>
      <c r="AG93" s="118"/>
      <c r="AH93" s="118"/>
      <c r="AI93" s="119"/>
      <c r="AJ93" s="118"/>
      <c r="AK93" s="118"/>
      <c r="AL93" s="118"/>
      <c r="AM93" s="121"/>
      <c r="AN93" s="121"/>
      <c r="AO93" s="122"/>
      <c r="AP93" s="121"/>
      <c r="AQ93" s="121"/>
      <c r="AR93" s="121"/>
      <c r="AS93" s="121"/>
      <c r="AT93" s="121"/>
      <c r="AU93" s="122"/>
      <c r="AV93" s="121"/>
      <c r="AW93" s="121"/>
      <c r="AX93" s="121"/>
      <c r="AY93" s="108"/>
      <c r="AZ93" s="108"/>
      <c r="BA93" s="108"/>
      <c r="BB93" s="108"/>
      <c r="BC93" s="108"/>
      <c r="BD93" s="108"/>
      <c r="BE93" s="108"/>
      <c r="BF93" s="108"/>
      <c r="BG93" s="108"/>
    </row>
    <row r="94" spans="2:59" s="1" customFormat="1" ht="19.899999999999999" customHeight="1" x14ac:dyDescent="0.2">
      <c r="B94" s="128" t="s">
        <v>217</v>
      </c>
      <c r="Y94" s="8"/>
      <c r="Z94" s="4"/>
      <c r="AA94" s="8"/>
      <c r="AB94" s="9"/>
      <c r="AC94" s="8"/>
      <c r="AD94" s="9"/>
    </row>
    <row r="95" spans="2:59" s="1" customFormat="1" ht="19.899999999999999" customHeight="1" x14ac:dyDescent="0.2">
      <c r="B95" s="47" t="s">
        <v>257</v>
      </c>
      <c r="C95" s="129"/>
      <c r="D95" s="129"/>
      <c r="E95" s="129"/>
      <c r="F95" s="129"/>
      <c r="G95" s="129"/>
      <c r="H95" s="130"/>
      <c r="I95" s="130"/>
      <c r="J95" s="130"/>
      <c r="K95" s="130"/>
      <c r="Z95" s="13"/>
      <c r="AA95" s="14"/>
      <c r="AB95" s="13"/>
      <c r="AC95" s="14"/>
      <c r="AD95" s="15"/>
    </row>
    <row r="96" spans="2:59" s="1" customFormat="1" ht="19.899999999999999" customHeight="1" x14ac:dyDescent="0.2">
      <c r="B96" s="131" t="s">
        <v>247</v>
      </c>
      <c r="D96" s="17"/>
      <c r="E96" s="17"/>
      <c r="F96" s="17"/>
      <c r="G96" s="17"/>
      <c r="H96" s="20"/>
      <c r="I96" s="21"/>
      <c r="J96" s="21"/>
    </row>
    <row r="97" spans="1:44" s="1" customFormat="1" ht="19.899999999999999" customHeight="1" x14ac:dyDescent="0.2">
      <c r="A97" s="20"/>
      <c r="B97" s="84" t="s">
        <v>249</v>
      </c>
      <c r="T97" s="133"/>
      <c r="U97" s="133"/>
      <c r="V97" s="133"/>
      <c r="W97" s="133"/>
      <c r="X97" s="133"/>
      <c r="Y97" s="133"/>
      <c r="Z97" s="133"/>
      <c r="AA97" s="133"/>
      <c r="AB97" s="133"/>
      <c r="AC97" s="133"/>
      <c r="AD97" s="133"/>
      <c r="AE97" s="133"/>
      <c r="AF97" s="133"/>
      <c r="AG97" s="133"/>
      <c r="AH97" s="133"/>
      <c r="AI97" s="133"/>
      <c r="AJ97" s="133"/>
      <c r="AK97" s="133"/>
      <c r="AL97" s="134"/>
    </row>
    <row r="98" spans="1:44" ht="19.899999999999999" customHeight="1" x14ac:dyDescent="0.2">
      <c r="B98" s="132" t="s">
        <v>250</v>
      </c>
      <c r="C98" s="1"/>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row>
    <row r="99" spans="1:44" ht="19.899999999999999" customHeight="1" x14ac:dyDescent="0.2">
      <c r="B99" s="132" t="s">
        <v>251</v>
      </c>
      <c r="C99" s="135"/>
    </row>
    <row r="100" spans="1:44" ht="22.5" customHeight="1" x14ac:dyDescent="0.2">
      <c r="B100" s="132" t="s">
        <v>252</v>
      </c>
    </row>
  </sheetData>
  <mergeCells count="196">
    <mergeCell ref="B77:B79"/>
    <mergeCell ref="C60:AX60"/>
    <mergeCell ref="AM73:AQ73"/>
    <mergeCell ref="W62:X62"/>
    <mergeCell ref="Y62:Z62"/>
    <mergeCell ref="AA62:AB62"/>
    <mergeCell ref="I62:J62"/>
    <mergeCell ref="K62:L62"/>
    <mergeCell ref="M62:N62"/>
    <mergeCell ref="O62:P62"/>
    <mergeCell ref="Q62:R62"/>
    <mergeCell ref="AW62:AX62"/>
    <mergeCell ref="AM62:AN62"/>
    <mergeCell ref="AO62:AP62"/>
    <mergeCell ref="AQ62:AR62"/>
    <mergeCell ref="AS62:AT62"/>
    <mergeCell ref="AU62:AV62"/>
    <mergeCell ref="AC62:AD62"/>
    <mergeCell ref="AE62:AF62"/>
    <mergeCell ref="AG62:AH62"/>
    <mergeCell ref="AI62:AJ62"/>
    <mergeCell ref="AK62:AL62"/>
    <mergeCell ref="AW79:AX79"/>
    <mergeCell ref="B60:B62"/>
    <mergeCell ref="C61:H61"/>
    <mergeCell ref="I61:N61"/>
    <mergeCell ref="O61:T61"/>
    <mergeCell ref="U61:Z61"/>
    <mergeCell ref="AA61:AF61"/>
    <mergeCell ref="AG61:AL61"/>
    <mergeCell ref="AM61:AR61"/>
    <mergeCell ref="AS61:AX61"/>
    <mergeCell ref="C62:D62"/>
    <mergeCell ref="E62:F62"/>
    <mergeCell ref="G62:H62"/>
    <mergeCell ref="S62:T62"/>
    <mergeCell ref="U62:V62"/>
    <mergeCell ref="S41:T41"/>
    <mergeCell ref="U41:V41"/>
    <mergeCell ref="W41:X41"/>
    <mergeCell ref="B39:B41"/>
    <mergeCell ref="C39:AX39"/>
    <mergeCell ref="C40:H40"/>
    <mergeCell ref="I40:N40"/>
    <mergeCell ref="O40:T40"/>
    <mergeCell ref="U40:Z40"/>
    <mergeCell ref="AA40:AF40"/>
    <mergeCell ref="AG40:AL40"/>
    <mergeCell ref="AM40:AR40"/>
    <mergeCell ref="AS40:AX40"/>
    <mergeCell ref="C41:D41"/>
    <mergeCell ref="E41:F41"/>
    <mergeCell ref="G41:H41"/>
    <mergeCell ref="I41:J41"/>
    <mergeCell ref="K41:L41"/>
    <mergeCell ref="M41:N41"/>
    <mergeCell ref="FE58:GD58"/>
    <mergeCell ref="GE58:HD58"/>
    <mergeCell ref="HE58:ID58"/>
    <mergeCell ref="IE58:JD58"/>
    <mergeCell ref="JE58:JZ58"/>
    <mergeCell ref="AQ24:AR24"/>
    <mergeCell ref="AS24:AT24"/>
    <mergeCell ref="AU24:AV24"/>
    <mergeCell ref="AW24:AX24"/>
    <mergeCell ref="B57:AX57"/>
    <mergeCell ref="AG24:AH24"/>
    <mergeCell ref="AI24:AJ24"/>
    <mergeCell ref="AK24:AL24"/>
    <mergeCell ref="AM24:AN24"/>
    <mergeCell ref="AO24:AP24"/>
    <mergeCell ref="W24:X24"/>
    <mergeCell ref="Y24:Z24"/>
    <mergeCell ref="AA24:AB24"/>
    <mergeCell ref="AC24:AD24"/>
    <mergeCell ref="AE24:AF24"/>
    <mergeCell ref="B58:AX58"/>
    <mergeCell ref="CE58:DD58"/>
    <mergeCell ref="DE58:ED58"/>
    <mergeCell ref="AU41:AV41"/>
    <mergeCell ref="EE58:FD58"/>
    <mergeCell ref="C24:D24"/>
    <mergeCell ref="E24:F24"/>
    <mergeCell ref="G24:H24"/>
    <mergeCell ref="I24:J24"/>
    <mergeCell ref="K24:L24"/>
    <mergeCell ref="M24:N24"/>
    <mergeCell ref="O24:P24"/>
    <mergeCell ref="Q24:R24"/>
    <mergeCell ref="S24:T24"/>
    <mergeCell ref="AS41:AT41"/>
    <mergeCell ref="AW41:AX41"/>
    <mergeCell ref="AI41:AJ41"/>
    <mergeCell ref="AK41:AL41"/>
    <mergeCell ref="AM41:AN41"/>
    <mergeCell ref="AO41:AP41"/>
    <mergeCell ref="AQ41:AR41"/>
    <mergeCell ref="Y41:Z41"/>
    <mergeCell ref="AA41:AB41"/>
    <mergeCell ref="AC41:AD41"/>
    <mergeCell ref="AE41:AF41"/>
    <mergeCell ref="AG41:AH41"/>
    <mergeCell ref="O41:P41"/>
    <mergeCell ref="Q41:R41"/>
    <mergeCell ref="AA7:AB7"/>
    <mergeCell ref="BA22:BJ22"/>
    <mergeCell ref="C23:H23"/>
    <mergeCell ref="I23:N23"/>
    <mergeCell ref="O23:T23"/>
    <mergeCell ref="U23:Z23"/>
    <mergeCell ref="AA23:AF23"/>
    <mergeCell ref="AG23:AL23"/>
    <mergeCell ref="AM23:AR23"/>
    <mergeCell ref="AS23:AX23"/>
    <mergeCell ref="C22:AX22"/>
    <mergeCell ref="AM7:AN7"/>
    <mergeCell ref="AO7:AP7"/>
    <mergeCell ref="W7:X7"/>
    <mergeCell ref="Y7:Z7"/>
    <mergeCell ref="U24:V24"/>
    <mergeCell ref="HE4:ID4"/>
    <mergeCell ref="IE4:JD4"/>
    <mergeCell ref="JE4:JZ4"/>
    <mergeCell ref="B5:B7"/>
    <mergeCell ref="C5:AX5"/>
    <mergeCell ref="C6:H6"/>
    <mergeCell ref="I6:N6"/>
    <mergeCell ref="O6:T6"/>
    <mergeCell ref="U6:Z6"/>
    <mergeCell ref="AA6:AF6"/>
    <mergeCell ref="AG6:AL6"/>
    <mergeCell ref="AM6:AR6"/>
    <mergeCell ref="AS6:AX6"/>
    <mergeCell ref="C7:D7"/>
    <mergeCell ref="E7:F7"/>
    <mergeCell ref="G7:H7"/>
    <mergeCell ref="CE4:DD4"/>
    <mergeCell ref="DE4:ED4"/>
    <mergeCell ref="EE4:FD4"/>
    <mergeCell ref="FE4:GD4"/>
    <mergeCell ref="GE4:HD4"/>
    <mergeCell ref="AQ7:AR7"/>
    <mergeCell ref="AS7:AT7"/>
    <mergeCell ref="AS79:AT79"/>
    <mergeCell ref="AU79:AV79"/>
    <mergeCell ref="AE79:AF79"/>
    <mergeCell ref="AG79:AH79"/>
    <mergeCell ref="AG87:AK87"/>
    <mergeCell ref="B22:B24"/>
    <mergeCell ref="AU7:AV7"/>
    <mergeCell ref="AG70:AK70"/>
    <mergeCell ref="B1:AX1"/>
    <mergeCell ref="B3:AX3"/>
    <mergeCell ref="B4:AX4"/>
    <mergeCell ref="I7:J7"/>
    <mergeCell ref="K7:L7"/>
    <mergeCell ref="M7:N7"/>
    <mergeCell ref="O7:P7"/>
    <mergeCell ref="Q7:R7"/>
    <mergeCell ref="S7:T7"/>
    <mergeCell ref="U7:V7"/>
    <mergeCell ref="AC7:AD7"/>
    <mergeCell ref="AE7:AF7"/>
    <mergeCell ref="AW7:AX7"/>
    <mergeCell ref="AG7:AH7"/>
    <mergeCell ref="AI7:AJ7"/>
    <mergeCell ref="AK7:AL7"/>
    <mergeCell ref="U79:V79"/>
    <mergeCell ref="W79:X79"/>
    <mergeCell ref="Y79:Z79"/>
    <mergeCell ref="AA79:AB79"/>
    <mergeCell ref="AC79:AD79"/>
    <mergeCell ref="AM90:AQ90"/>
    <mergeCell ref="AI79:AJ79"/>
    <mergeCell ref="AK79:AL79"/>
    <mergeCell ref="AM79:AN79"/>
    <mergeCell ref="AO79:AP79"/>
    <mergeCell ref="AQ79:AR79"/>
    <mergeCell ref="C79:D79"/>
    <mergeCell ref="E79:F79"/>
    <mergeCell ref="G79:H79"/>
    <mergeCell ref="I79:J79"/>
    <mergeCell ref="K79:L79"/>
    <mergeCell ref="M79:N79"/>
    <mergeCell ref="O79:P79"/>
    <mergeCell ref="Q79:R79"/>
    <mergeCell ref="S79:T79"/>
    <mergeCell ref="C77:Z77"/>
    <mergeCell ref="C78:H78"/>
    <mergeCell ref="I78:N78"/>
    <mergeCell ref="O78:T78"/>
    <mergeCell ref="U78:Z78"/>
    <mergeCell ref="AA78:AF78"/>
    <mergeCell ref="AG78:AL78"/>
    <mergeCell ref="AM78:AR78"/>
    <mergeCell ref="AS78:AX78"/>
  </mergeCells>
  <printOptions horizontalCentered="1" verticalCentered="1"/>
  <pageMargins left="0" right="0" top="0" bottom="0" header="0" footer="0"/>
  <pageSetup paperSize="9" scale="30" orientation="landscape" r:id="rId1"/>
  <rowBreaks count="1" manualBreakCount="1">
    <brk id="55" min="1" max="4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AL50"/>
  <sheetViews>
    <sheetView showGridLines="0" zoomScale="60" zoomScaleNormal="60" workbookViewId="0">
      <selection activeCell="E46" sqref="E46"/>
    </sheetView>
  </sheetViews>
  <sheetFormatPr baseColWidth="10" defaultColWidth="11.42578125" defaultRowHeight="12.75" x14ac:dyDescent="0.2"/>
  <cols>
    <col min="1" max="1" width="4.7109375" style="38" customWidth="1"/>
    <col min="2" max="2" width="11.42578125" style="38"/>
    <col min="3" max="3" width="17" style="38" customWidth="1"/>
    <col min="4" max="4" width="15.7109375" style="38" customWidth="1"/>
    <col min="5" max="5" width="18.5703125" style="38" customWidth="1"/>
    <col min="6" max="6" width="17.28515625" style="38" customWidth="1"/>
    <col min="7" max="7" width="16.28515625" style="38" customWidth="1"/>
    <col min="8" max="8" width="18.5703125" style="38" customWidth="1"/>
    <col min="9" max="9" width="17.7109375" style="38" customWidth="1"/>
    <col min="10" max="10" width="15.7109375" style="38" customWidth="1"/>
    <col min="11" max="11" width="20.7109375" style="38" customWidth="1"/>
    <col min="12" max="12" width="4.28515625" style="38" customWidth="1"/>
    <col min="13" max="16384" width="11.42578125" style="38"/>
  </cols>
  <sheetData>
    <row r="1" spans="2:11" ht="30" customHeight="1" x14ac:dyDescent="0.2">
      <c r="B1" s="691" t="s">
        <v>44</v>
      </c>
      <c r="C1" s="691"/>
      <c r="D1" s="691"/>
      <c r="E1" s="691"/>
      <c r="F1" s="691"/>
      <c r="G1" s="691"/>
      <c r="H1" s="691"/>
      <c r="I1" s="691"/>
      <c r="J1" s="691"/>
      <c r="K1" s="691"/>
    </row>
    <row r="2" spans="2:11" ht="30" customHeight="1" x14ac:dyDescent="0.2">
      <c r="B2" s="693" t="s">
        <v>145</v>
      </c>
      <c r="C2" s="693"/>
      <c r="D2" s="693"/>
      <c r="E2" s="693"/>
      <c r="F2" s="693"/>
      <c r="G2" s="693"/>
      <c r="H2" s="693"/>
      <c r="I2" s="693"/>
      <c r="J2" s="693"/>
      <c r="K2" s="693"/>
    </row>
    <row r="3" spans="2:11" ht="48.75" customHeight="1" x14ac:dyDescent="0.2">
      <c r="B3" s="692" t="s">
        <v>187</v>
      </c>
      <c r="C3" s="692"/>
      <c r="D3" s="692"/>
      <c r="E3" s="692"/>
      <c r="F3" s="692"/>
      <c r="G3" s="692"/>
      <c r="H3" s="692"/>
      <c r="I3" s="692"/>
      <c r="J3" s="692"/>
      <c r="K3" s="692"/>
    </row>
    <row r="4" spans="2:11" ht="30" customHeight="1" x14ac:dyDescent="0.2">
      <c r="B4" s="691" t="s">
        <v>325</v>
      </c>
      <c r="C4" s="691"/>
      <c r="D4" s="691"/>
      <c r="E4" s="691"/>
      <c r="F4" s="691"/>
      <c r="G4" s="691"/>
      <c r="H4" s="691"/>
      <c r="I4" s="691"/>
      <c r="J4" s="691"/>
      <c r="K4" s="691"/>
    </row>
    <row r="5" spans="2:11" ht="30" customHeight="1" x14ac:dyDescent="0.2">
      <c r="B5" s="721" t="s">
        <v>1</v>
      </c>
      <c r="C5" s="782" t="s">
        <v>2</v>
      </c>
      <c r="D5" s="782"/>
      <c r="E5" s="782"/>
      <c r="F5" s="782" t="s">
        <v>11</v>
      </c>
      <c r="G5" s="782"/>
      <c r="H5" s="782"/>
      <c r="I5" s="782" t="s">
        <v>12</v>
      </c>
      <c r="J5" s="782"/>
      <c r="K5" s="754"/>
    </row>
    <row r="6" spans="2:11" ht="30" customHeight="1" x14ac:dyDescent="0.2">
      <c r="B6" s="721"/>
      <c r="C6" s="280" t="s">
        <v>64</v>
      </c>
      <c r="D6" s="280" t="s">
        <v>159</v>
      </c>
      <c r="E6" s="281" t="s">
        <v>6</v>
      </c>
      <c r="F6" s="280" t="s">
        <v>64</v>
      </c>
      <c r="G6" s="280" t="s">
        <v>159</v>
      </c>
      <c r="H6" s="281" t="s">
        <v>6</v>
      </c>
      <c r="I6" s="280" t="s">
        <v>64</v>
      </c>
      <c r="J6" s="280" t="s">
        <v>159</v>
      </c>
      <c r="K6" s="282" t="s">
        <v>6</v>
      </c>
    </row>
    <row r="7" spans="2:11" ht="25.15" customHeight="1" x14ac:dyDescent="0.2">
      <c r="B7" s="376">
        <v>1987</v>
      </c>
      <c r="C7" s="277">
        <v>222</v>
      </c>
      <c r="D7" s="277">
        <v>498</v>
      </c>
      <c r="E7" s="278">
        <f>SUM(C7:D7)</f>
        <v>720</v>
      </c>
      <c r="F7" s="277">
        <v>73037</v>
      </c>
      <c r="G7" s="277">
        <v>236370</v>
      </c>
      <c r="H7" s="278">
        <f>SUM(F7:G7)</f>
        <v>309407</v>
      </c>
      <c r="I7" s="277">
        <v>4214256</v>
      </c>
      <c r="J7" s="277">
        <v>4853674</v>
      </c>
      <c r="K7" s="278">
        <f t="shared" ref="K7:K35" si="0">SUM(I7:J7)</f>
        <v>9067930</v>
      </c>
    </row>
    <row r="8" spans="2:11" ht="25.15" customHeight="1" x14ac:dyDescent="0.2">
      <c r="B8" s="376">
        <v>1988</v>
      </c>
      <c r="C8" s="277">
        <v>267</v>
      </c>
      <c r="D8" s="277">
        <v>547</v>
      </c>
      <c r="E8" s="278">
        <f t="shared" ref="E8:E35" si="1">SUM(C8:D8)</f>
        <v>814</v>
      </c>
      <c r="F8" s="277">
        <v>121592</v>
      </c>
      <c r="G8" s="277">
        <v>571660</v>
      </c>
      <c r="H8" s="278">
        <f t="shared" ref="H8:H35" si="2">SUM(F8:G8)</f>
        <v>693252</v>
      </c>
      <c r="I8" s="277">
        <v>22189547</v>
      </c>
      <c r="J8" s="277">
        <v>16085422</v>
      </c>
      <c r="K8" s="278">
        <f t="shared" si="0"/>
        <v>38274969</v>
      </c>
    </row>
    <row r="9" spans="2:11" ht="25.15" customHeight="1" x14ac:dyDescent="0.2">
      <c r="B9" s="376">
        <v>1989</v>
      </c>
      <c r="C9" s="277">
        <v>202</v>
      </c>
      <c r="D9" s="277">
        <v>465</v>
      </c>
      <c r="E9" s="278">
        <f t="shared" si="1"/>
        <v>667</v>
      </c>
      <c r="F9" s="277">
        <v>68264</v>
      </c>
      <c r="G9" s="277">
        <v>139971</v>
      </c>
      <c r="H9" s="278">
        <f t="shared" si="2"/>
        <v>208235</v>
      </c>
      <c r="I9" s="277">
        <v>4941453</v>
      </c>
      <c r="J9" s="277">
        <v>10281713</v>
      </c>
      <c r="K9" s="278">
        <f t="shared" si="0"/>
        <v>15223166</v>
      </c>
    </row>
    <row r="10" spans="2:11" ht="25.15" customHeight="1" x14ac:dyDescent="0.2">
      <c r="B10" s="376">
        <v>1990</v>
      </c>
      <c r="C10" s="277">
        <v>200</v>
      </c>
      <c r="D10" s="277">
        <v>413</v>
      </c>
      <c r="E10" s="278">
        <f t="shared" si="1"/>
        <v>613</v>
      </c>
      <c r="F10" s="277">
        <v>74724</v>
      </c>
      <c r="G10" s="277">
        <v>183510</v>
      </c>
      <c r="H10" s="278">
        <f t="shared" si="2"/>
        <v>258234</v>
      </c>
      <c r="I10" s="277">
        <v>4996251</v>
      </c>
      <c r="J10" s="277">
        <v>10071629</v>
      </c>
      <c r="K10" s="278">
        <f t="shared" si="0"/>
        <v>15067880</v>
      </c>
    </row>
    <row r="11" spans="2:11" ht="25.15" customHeight="1" x14ac:dyDescent="0.2">
      <c r="B11" s="376">
        <v>1991</v>
      </c>
      <c r="C11" s="277">
        <v>126</v>
      </c>
      <c r="D11" s="277">
        <v>189</v>
      </c>
      <c r="E11" s="278">
        <f t="shared" si="1"/>
        <v>315</v>
      </c>
      <c r="F11" s="277">
        <v>48613</v>
      </c>
      <c r="G11" s="277">
        <v>132115</v>
      </c>
      <c r="H11" s="278">
        <f t="shared" si="2"/>
        <v>180728</v>
      </c>
      <c r="I11" s="277">
        <v>2764025</v>
      </c>
      <c r="J11" s="277">
        <v>6116861</v>
      </c>
      <c r="K11" s="278">
        <f t="shared" si="0"/>
        <v>8880886</v>
      </c>
    </row>
    <row r="12" spans="2:11" ht="25.15" customHeight="1" x14ac:dyDescent="0.2">
      <c r="B12" s="376">
        <v>1992</v>
      </c>
      <c r="C12" s="277">
        <v>97</v>
      </c>
      <c r="D12" s="277">
        <v>122</v>
      </c>
      <c r="E12" s="278">
        <f t="shared" si="1"/>
        <v>219</v>
      </c>
      <c r="F12" s="277">
        <v>36318</v>
      </c>
      <c r="G12" s="277">
        <v>78338</v>
      </c>
      <c r="H12" s="278">
        <f t="shared" si="2"/>
        <v>114656</v>
      </c>
      <c r="I12" s="277">
        <v>1109790</v>
      </c>
      <c r="J12" s="277">
        <v>1209589</v>
      </c>
      <c r="K12" s="278">
        <f t="shared" si="0"/>
        <v>2319379</v>
      </c>
    </row>
    <row r="13" spans="2:11" ht="25.15" customHeight="1" x14ac:dyDescent="0.2">
      <c r="B13" s="376">
        <v>1993</v>
      </c>
      <c r="C13" s="277">
        <v>106</v>
      </c>
      <c r="D13" s="277">
        <v>45</v>
      </c>
      <c r="E13" s="278">
        <f t="shared" si="1"/>
        <v>151</v>
      </c>
      <c r="F13" s="277">
        <v>20184</v>
      </c>
      <c r="G13" s="277">
        <v>21290</v>
      </c>
      <c r="H13" s="278">
        <f t="shared" si="2"/>
        <v>41474</v>
      </c>
      <c r="I13" s="277">
        <v>1684707</v>
      </c>
      <c r="J13" s="277">
        <v>483057</v>
      </c>
      <c r="K13" s="278">
        <f t="shared" si="0"/>
        <v>2167764</v>
      </c>
    </row>
    <row r="14" spans="2:11" ht="25.15" customHeight="1" x14ac:dyDescent="0.2">
      <c r="B14" s="376">
        <v>1994</v>
      </c>
      <c r="C14" s="277">
        <v>68</v>
      </c>
      <c r="D14" s="277">
        <v>100</v>
      </c>
      <c r="E14" s="278">
        <f t="shared" si="1"/>
        <v>168</v>
      </c>
      <c r="F14" s="277">
        <v>19824</v>
      </c>
      <c r="G14" s="277">
        <v>43116</v>
      </c>
      <c r="H14" s="278">
        <f t="shared" si="2"/>
        <v>62940</v>
      </c>
      <c r="I14" s="277">
        <v>1270212</v>
      </c>
      <c r="J14" s="277">
        <v>666435</v>
      </c>
      <c r="K14" s="278">
        <f t="shared" si="0"/>
        <v>1936647</v>
      </c>
    </row>
    <row r="15" spans="2:11" ht="25.15" customHeight="1" x14ac:dyDescent="0.2">
      <c r="B15" s="376">
        <v>1995</v>
      </c>
      <c r="C15" s="277">
        <v>33</v>
      </c>
      <c r="D15" s="277">
        <v>69</v>
      </c>
      <c r="E15" s="278">
        <f t="shared" si="1"/>
        <v>102</v>
      </c>
      <c r="F15" s="277">
        <v>11164</v>
      </c>
      <c r="G15" s="277">
        <v>17018</v>
      </c>
      <c r="H15" s="278">
        <f t="shared" si="2"/>
        <v>28182</v>
      </c>
      <c r="I15" s="277">
        <v>579657</v>
      </c>
      <c r="J15" s="277">
        <v>469096</v>
      </c>
      <c r="K15" s="278">
        <f t="shared" si="0"/>
        <v>1048753</v>
      </c>
    </row>
    <row r="16" spans="2:11" ht="25.15" customHeight="1" x14ac:dyDescent="0.2">
      <c r="B16" s="376">
        <v>1996</v>
      </c>
      <c r="C16" s="277">
        <v>28</v>
      </c>
      <c r="D16" s="277">
        <v>49</v>
      </c>
      <c r="E16" s="278">
        <f t="shared" si="1"/>
        <v>77</v>
      </c>
      <c r="F16" s="277">
        <v>19630</v>
      </c>
      <c r="G16" s="277">
        <v>16612</v>
      </c>
      <c r="H16" s="278">
        <f t="shared" si="2"/>
        <v>36242</v>
      </c>
      <c r="I16" s="277">
        <v>727226</v>
      </c>
      <c r="J16" s="277">
        <v>672660</v>
      </c>
      <c r="K16" s="278">
        <f t="shared" si="0"/>
        <v>1399886</v>
      </c>
    </row>
    <row r="17" spans="2:11" ht="25.15" customHeight="1" x14ac:dyDescent="0.2">
      <c r="B17" s="376">
        <v>1997</v>
      </c>
      <c r="C17" s="277">
        <v>21</v>
      </c>
      <c r="D17" s="277">
        <v>45</v>
      </c>
      <c r="E17" s="278">
        <f t="shared" si="1"/>
        <v>66</v>
      </c>
      <c r="F17" s="277">
        <v>7833</v>
      </c>
      <c r="G17" s="277">
        <v>11363</v>
      </c>
      <c r="H17" s="278">
        <f t="shared" si="2"/>
        <v>19196</v>
      </c>
      <c r="I17" s="277">
        <v>163742</v>
      </c>
      <c r="J17" s="277">
        <v>155672</v>
      </c>
      <c r="K17" s="278">
        <f t="shared" si="0"/>
        <v>319414</v>
      </c>
    </row>
    <row r="18" spans="2:11" ht="25.15" customHeight="1" x14ac:dyDescent="0.2">
      <c r="B18" s="376">
        <v>1998</v>
      </c>
      <c r="C18" s="277">
        <v>13</v>
      </c>
      <c r="D18" s="277">
        <v>45</v>
      </c>
      <c r="E18" s="278">
        <f t="shared" si="1"/>
        <v>58</v>
      </c>
      <c r="F18" s="277">
        <v>1489</v>
      </c>
      <c r="G18" s="277">
        <v>15844</v>
      </c>
      <c r="H18" s="278">
        <f t="shared" si="2"/>
        <v>17333</v>
      </c>
      <c r="I18" s="277">
        <v>49011</v>
      </c>
      <c r="J18" s="277">
        <v>274157</v>
      </c>
      <c r="K18" s="278">
        <f t="shared" si="0"/>
        <v>323168</v>
      </c>
    </row>
    <row r="19" spans="2:11" ht="25.15" customHeight="1" x14ac:dyDescent="0.2">
      <c r="B19" s="376">
        <v>1999</v>
      </c>
      <c r="C19" s="277">
        <v>9</v>
      </c>
      <c r="D19" s="277">
        <v>62</v>
      </c>
      <c r="E19" s="278">
        <f t="shared" si="1"/>
        <v>71</v>
      </c>
      <c r="F19" s="277">
        <v>2686</v>
      </c>
      <c r="G19" s="277">
        <v>49394</v>
      </c>
      <c r="H19" s="278">
        <f t="shared" si="2"/>
        <v>52080</v>
      </c>
      <c r="I19" s="277">
        <v>73320</v>
      </c>
      <c r="J19" s="277">
        <v>650940</v>
      </c>
      <c r="K19" s="278">
        <f t="shared" si="0"/>
        <v>724260</v>
      </c>
    </row>
    <row r="20" spans="2:11" ht="25.15" customHeight="1" x14ac:dyDescent="0.2">
      <c r="B20" s="376">
        <v>2000</v>
      </c>
      <c r="C20" s="277">
        <v>15</v>
      </c>
      <c r="D20" s="277">
        <v>22</v>
      </c>
      <c r="E20" s="278">
        <f t="shared" si="1"/>
        <v>37</v>
      </c>
      <c r="F20" s="277">
        <v>2052</v>
      </c>
      <c r="G20" s="277">
        <v>3228</v>
      </c>
      <c r="H20" s="278">
        <f t="shared" si="2"/>
        <v>5280</v>
      </c>
      <c r="I20" s="277">
        <v>138224</v>
      </c>
      <c r="J20" s="277">
        <v>43467</v>
      </c>
      <c r="K20" s="278">
        <f t="shared" si="0"/>
        <v>181691</v>
      </c>
    </row>
    <row r="21" spans="2:11" ht="25.15" customHeight="1" x14ac:dyDescent="0.2">
      <c r="B21" s="376">
        <v>2001</v>
      </c>
      <c r="C21" s="279">
        <v>8</v>
      </c>
      <c r="D21" s="277">
        <v>32</v>
      </c>
      <c r="E21" s="278">
        <f t="shared" si="1"/>
        <v>40</v>
      </c>
      <c r="F21" s="279">
        <v>1140</v>
      </c>
      <c r="G21" s="277">
        <v>9910</v>
      </c>
      <c r="H21" s="278">
        <f t="shared" si="2"/>
        <v>11050</v>
      </c>
      <c r="I21" s="279">
        <v>75992</v>
      </c>
      <c r="J21" s="277">
        <v>412938</v>
      </c>
      <c r="K21" s="278">
        <f t="shared" si="0"/>
        <v>488930</v>
      </c>
    </row>
    <row r="22" spans="2:11" ht="25.15" customHeight="1" x14ac:dyDescent="0.2">
      <c r="B22" s="376">
        <v>2002</v>
      </c>
      <c r="C22" s="279">
        <v>12</v>
      </c>
      <c r="D22" s="277">
        <v>52</v>
      </c>
      <c r="E22" s="278">
        <f t="shared" si="1"/>
        <v>64</v>
      </c>
      <c r="F22" s="279">
        <v>5471</v>
      </c>
      <c r="G22" s="277">
        <v>17454</v>
      </c>
      <c r="H22" s="278">
        <f t="shared" si="2"/>
        <v>22925</v>
      </c>
      <c r="I22" s="279">
        <v>271632</v>
      </c>
      <c r="J22" s="277">
        <v>641016</v>
      </c>
      <c r="K22" s="278">
        <f t="shared" si="0"/>
        <v>912648</v>
      </c>
    </row>
    <row r="23" spans="2:11" ht="25.15" customHeight="1" x14ac:dyDescent="0.2">
      <c r="B23" s="376">
        <v>2003</v>
      </c>
      <c r="C23" s="277">
        <v>13</v>
      </c>
      <c r="D23" s="277">
        <v>55</v>
      </c>
      <c r="E23" s="278">
        <f>SUM(C23:D23)</f>
        <v>68</v>
      </c>
      <c r="F23" s="279">
        <v>20614</v>
      </c>
      <c r="G23" s="277">
        <v>16709</v>
      </c>
      <c r="H23" s="278">
        <f t="shared" si="2"/>
        <v>37323</v>
      </c>
      <c r="I23" s="279">
        <v>641566</v>
      </c>
      <c r="J23" s="277">
        <v>239796</v>
      </c>
      <c r="K23" s="278">
        <f t="shared" si="0"/>
        <v>881362</v>
      </c>
    </row>
    <row r="24" spans="2:11" ht="25.15" customHeight="1" x14ac:dyDescent="0.2">
      <c r="B24" s="376">
        <v>2004</v>
      </c>
      <c r="C24" s="277">
        <v>12</v>
      </c>
      <c r="D24" s="277">
        <v>95</v>
      </c>
      <c r="E24" s="278">
        <f t="shared" si="1"/>
        <v>107</v>
      </c>
      <c r="F24" s="279">
        <v>3541</v>
      </c>
      <c r="G24" s="277">
        <v>25732</v>
      </c>
      <c r="H24" s="278">
        <f t="shared" si="2"/>
        <v>29273</v>
      </c>
      <c r="I24" s="279">
        <v>176824</v>
      </c>
      <c r="J24" s="277">
        <v>405504</v>
      </c>
      <c r="K24" s="278">
        <f t="shared" si="0"/>
        <v>582328</v>
      </c>
    </row>
    <row r="25" spans="2:11" ht="25.15" customHeight="1" x14ac:dyDescent="0.2">
      <c r="B25" s="376">
        <v>2005</v>
      </c>
      <c r="C25" s="277">
        <v>20</v>
      </c>
      <c r="D25" s="277">
        <v>45</v>
      </c>
      <c r="E25" s="278">
        <f t="shared" si="1"/>
        <v>65</v>
      </c>
      <c r="F25" s="279">
        <v>7346</v>
      </c>
      <c r="G25" s="277">
        <v>11676</v>
      </c>
      <c r="H25" s="278">
        <f t="shared" si="2"/>
        <v>19022</v>
      </c>
      <c r="I25" s="279">
        <v>276064</v>
      </c>
      <c r="J25" s="277">
        <v>202674</v>
      </c>
      <c r="K25" s="278">
        <f t="shared" si="0"/>
        <v>478738</v>
      </c>
    </row>
    <row r="26" spans="2:11" ht="25.15" customHeight="1" x14ac:dyDescent="0.2">
      <c r="B26" s="376">
        <v>2006</v>
      </c>
      <c r="C26" s="277">
        <v>18</v>
      </c>
      <c r="D26" s="277">
        <v>49</v>
      </c>
      <c r="E26" s="278">
        <f>SUM(C26:D26)</f>
        <v>67</v>
      </c>
      <c r="F26" s="279">
        <v>7626</v>
      </c>
      <c r="G26" s="277">
        <v>11939</v>
      </c>
      <c r="H26" s="278">
        <f t="shared" si="2"/>
        <v>19565</v>
      </c>
      <c r="I26" s="279">
        <v>287840</v>
      </c>
      <c r="J26" s="277">
        <v>158744</v>
      </c>
      <c r="K26" s="278">
        <f t="shared" si="0"/>
        <v>446584</v>
      </c>
    </row>
    <row r="27" spans="2:11" ht="25.15" customHeight="1" x14ac:dyDescent="0.2">
      <c r="B27" s="376">
        <v>2007</v>
      </c>
      <c r="C27" s="277">
        <v>20</v>
      </c>
      <c r="D27" s="277">
        <v>53</v>
      </c>
      <c r="E27" s="278">
        <f t="shared" si="1"/>
        <v>73</v>
      </c>
      <c r="F27" s="279">
        <v>9760</v>
      </c>
      <c r="G27" s="277">
        <v>38336</v>
      </c>
      <c r="H27" s="278">
        <f t="shared" si="2"/>
        <v>48096</v>
      </c>
      <c r="I27" s="279">
        <v>483072</v>
      </c>
      <c r="J27" s="277">
        <v>1733448</v>
      </c>
      <c r="K27" s="278">
        <f t="shared" si="0"/>
        <v>2216520</v>
      </c>
    </row>
    <row r="28" spans="2:11" ht="25.15" customHeight="1" x14ac:dyDescent="0.2">
      <c r="B28" s="376">
        <v>2008</v>
      </c>
      <c r="C28" s="277">
        <v>20</v>
      </c>
      <c r="D28" s="277">
        <v>43</v>
      </c>
      <c r="E28" s="278">
        <f t="shared" si="1"/>
        <v>63</v>
      </c>
      <c r="F28" s="279">
        <v>5410</v>
      </c>
      <c r="G28" s="277">
        <v>28601</v>
      </c>
      <c r="H28" s="278">
        <f t="shared" si="2"/>
        <v>34011</v>
      </c>
      <c r="I28" s="279">
        <v>325456</v>
      </c>
      <c r="J28" s="277">
        <v>1195504</v>
      </c>
      <c r="K28" s="278">
        <f t="shared" si="0"/>
        <v>1520960</v>
      </c>
    </row>
    <row r="29" spans="2:11" ht="25.15" customHeight="1" x14ac:dyDescent="0.2">
      <c r="B29" s="376">
        <v>2009</v>
      </c>
      <c r="C29" s="277">
        <v>40</v>
      </c>
      <c r="D29" s="277">
        <v>59</v>
      </c>
      <c r="E29" s="278">
        <f t="shared" si="1"/>
        <v>99</v>
      </c>
      <c r="F29" s="279">
        <v>12894</v>
      </c>
      <c r="G29" s="277">
        <v>23220</v>
      </c>
      <c r="H29" s="278">
        <f t="shared" si="2"/>
        <v>36114</v>
      </c>
      <c r="I29" s="279">
        <v>812456</v>
      </c>
      <c r="J29" s="277">
        <v>640010</v>
      </c>
      <c r="K29" s="278">
        <f t="shared" si="0"/>
        <v>1452466</v>
      </c>
    </row>
    <row r="30" spans="2:11" ht="25.15" customHeight="1" x14ac:dyDescent="0.2">
      <c r="B30" s="376">
        <v>2010</v>
      </c>
      <c r="C30" s="277">
        <v>32</v>
      </c>
      <c r="D30" s="277">
        <v>51</v>
      </c>
      <c r="E30" s="278">
        <f t="shared" si="1"/>
        <v>83</v>
      </c>
      <c r="F30" s="279">
        <v>10220</v>
      </c>
      <c r="G30" s="277">
        <v>20386</v>
      </c>
      <c r="H30" s="278">
        <f t="shared" si="2"/>
        <v>30606</v>
      </c>
      <c r="I30" s="279">
        <v>401440</v>
      </c>
      <c r="J30" s="277">
        <v>877940</v>
      </c>
      <c r="K30" s="278">
        <f t="shared" si="0"/>
        <v>1279380</v>
      </c>
    </row>
    <row r="31" spans="2:11" ht="25.15" customHeight="1" x14ac:dyDescent="0.2">
      <c r="B31" s="376">
        <v>2011</v>
      </c>
      <c r="C31" s="277">
        <v>36</v>
      </c>
      <c r="D31" s="277">
        <v>48</v>
      </c>
      <c r="E31" s="278">
        <f t="shared" si="1"/>
        <v>84</v>
      </c>
      <c r="F31" s="279">
        <v>12524</v>
      </c>
      <c r="G31" s="277">
        <v>14246</v>
      </c>
      <c r="H31" s="278">
        <f>SUM(F31:G31)</f>
        <v>26770</v>
      </c>
      <c r="I31" s="279">
        <v>1199880</v>
      </c>
      <c r="J31" s="277">
        <v>599536</v>
      </c>
      <c r="K31" s="278">
        <f t="shared" si="0"/>
        <v>1799416</v>
      </c>
    </row>
    <row r="32" spans="2:11" ht="25.15" customHeight="1" x14ac:dyDescent="0.2">
      <c r="B32" s="376">
        <v>2012</v>
      </c>
      <c r="C32" s="277">
        <v>33</v>
      </c>
      <c r="D32" s="277">
        <v>56</v>
      </c>
      <c r="E32" s="278">
        <f t="shared" si="1"/>
        <v>89</v>
      </c>
      <c r="F32" s="279">
        <v>8325</v>
      </c>
      <c r="G32" s="277">
        <v>17520</v>
      </c>
      <c r="H32" s="278">
        <f>SUM(F32:G32)</f>
        <v>25845</v>
      </c>
      <c r="I32" s="279">
        <v>693240</v>
      </c>
      <c r="J32" s="277">
        <v>1185456</v>
      </c>
      <c r="K32" s="278">
        <f t="shared" si="0"/>
        <v>1878696</v>
      </c>
    </row>
    <row r="33" spans="2:30" ht="25.15" customHeight="1" x14ac:dyDescent="0.2">
      <c r="B33" s="376">
        <v>2013</v>
      </c>
      <c r="C33" s="277">
        <v>44</v>
      </c>
      <c r="D33" s="277">
        <v>50</v>
      </c>
      <c r="E33" s="278">
        <f t="shared" si="1"/>
        <v>94</v>
      </c>
      <c r="F33" s="279">
        <v>10317</v>
      </c>
      <c r="G33" s="277">
        <v>16419</v>
      </c>
      <c r="H33" s="278">
        <f t="shared" si="2"/>
        <v>26736</v>
      </c>
      <c r="I33" s="279">
        <v>727416</v>
      </c>
      <c r="J33" s="277">
        <v>845786</v>
      </c>
      <c r="K33" s="278">
        <f t="shared" si="0"/>
        <v>1573202</v>
      </c>
    </row>
    <row r="34" spans="2:30" ht="25.15" customHeight="1" x14ac:dyDescent="0.2">
      <c r="B34" s="376">
        <v>2014</v>
      </c>
      <c r="C34" s="277">
        <v>45</v>
      </c>
      <c r="D34" s="277">
        <v>50</v>
      </c>
      <c r="E34" s="278">
        <f t="shared" si="1"/>
        <v>95</v>
      </c>
      <c r="F34" s="279">
        <v>15694</v>
      </c>
      <c r="G34" s="277">
        <v>24987</v>
      </c>
      <c r="H34" s="278">
        <f t="shared" si="2"/>
        <v>40681</v>
      </c>
      <c r="I34" s="279">
        <v>1481710</v>
      </c>
      <c r="J34" s="277">
        <v>1671308</v>
      </c>
      <c r="K34" s="278">
        <f t="shared" si="0"/>
        <v>3153018</v>
      </c>
    </row>
    <row r="35" spans="2:30" ht="25.15" customHeight="1" x14ac:dyDescent="0.2">
      <c r="B35" s="376">
        <v>2015</v>
      </c>
      <c r="C35" s="277">
        <v>25</v>
      </c>
      <c r="D35" s="277">
        <v>22</v>
      </c>
      <c r="E35" s="278">
        <f t="shared" si="1"/>
        <v>47</v>
      </c>
      <c r="F35" s="279">
        <v>6695</v>
      </c>
      <c r="G35" s="277">
        <v>25371</v>
      </c>
      <c r="H35" s="278">
        <f t="shared" si="2"/>
        <v>32066</v>
      </c>
      <c r="I35" s="279">
        <v>724320</v>
      </c>
      <c r="J35" s="277">
        <v>1201312</v>
      </c>
      <c r="K35" s="278">
        <f t="shared" si="0"/>
        <v>1925632</v>
      </c>
    </row>
    <row r="36" spans="2:30" ht="25.15" customHeight="1" x14ac:dyDescent="0.2">
      <c r="B36" s="376">
        <v>2016</v>
      </c>
      <c r="C36" s="277">
        <v>22</v>
      </c>
      <c r="D36" s="277">
        <v>19</v>
      </c>
      <c r="E36" s="278">
        <f t="shared" ref="E36:E41" si="3">SUM(C36:D36)</f>
        <v>41</v>
      </c>
      <c r="F36" s="279">
        <v>7209</v>
      </c>
      <c r="G36" s="277">
        <v>13254</v>
      </c>
      <c r="H36" s="278">
        <f t="shared" ref="H36:H45" si="4">SUM(F36:G36)</f>
        <v>20463</v>
      </c>
      <c r="I36" s="279">
        <v>1286160</v>
      </c>
      <c r="J36" s="277">
        <v>1797896</v>
      </c>
      <c r="K36" s="278">
        <f t="shared" ref="K36:K40" si="5">SUM(I36:J36)</f>
        <v>3084056</v>
      </c>
    </row>
    <row r="37" spans="2:30" ht="25.15" customHeight="1" x14ac:dyDescent="0.2">
      <c r="B37" s="376">
        <v>2017</v>
      </c>
      <c r="C37" s="277">
        <v>17</v>
      </c>
      <c r="D37" s="277">
        <v>28</v>
      </c>
      <c r="E37" s="278">
        <f t="shared" si="3"/>
        <v>45</v>
      </c>
      <c r="F37" s="279">
        <v>7198</v>
      </c>
      <c r="G37" s="277">
        <v>49412</v>
      </c>
      <c r="H37" s="278">
        <f t="shared" si="4"/>
        <v>56610</v>
      </c>
      <c r="I37" s="279">
        <v>306592</v>
      </c>
      <c r="J37" s="277">
        <v>2699902</v>
      </c>
      <c r="K37" s="278">
        <f t="shared" si="5"/>
        <v>3006494</v>
      </c>
    </row>
    <row r="38" spans="2:30" ht="25.15" customHeight="1" x14ac:dyDescent="0.2">
      <c r="B38" s="376">
        <v>2018</v>
      </c>
      <c r="C38" s="277">
        <v>26</v>
      </c>
      <c r="D38" s="277">
        <f>27+1</f>
        <v>28</v>
      </c>
      <c r="E38" s="278">
        <f>SUM(C38:D38)</f>
        <v>54</v>
      </c>
      <c r="F38" s="279">
        <v>12486</v>
      </c>
      <c r="G38" s="277">
        <f>8760+250</f>
        <v>9010</v>
      </c>
      <c r="H38" s="278">
        <f t="shared" si="4"/>
        <v>21496</v>
      </c>
      <c r="I38" s="279">
        <v>428320</v>
      </c>
      <c r="J38" s="277">
        <f>308544+2000</f>
        <v>310544</v>
      </c>
      <c r="K38" s="278">
        <f t="shared" si="5"/>
        <v>738864</v>
      </c>
    </row>
    <row r="39" spans="2:30" ht="25.15" customHeight="1" x14ac:dyDescent="0.2">
      <c r="B39" s="376">
        <v>2019</v>
      </c>
      <c r="C39" s="277">
        <v>27</v>
      </c>
      <c r="D39" s="277">
        <v>40</v>
      </c>
      <c r="E39" s="278">
        <f>SUM(C39:D39)</f>
        <v>67</v>
      </c>
      <c r="F39" s="279">
        <v>13454</v>
      </c>
      <c r="G39" s="277">
        <v>96700</v>
      </c>
      <c r="H39" s="278">
        <f t="shared" si="4"/>
        <v>110154</v>
      </c>
      <c r="I39" s="279">
        <v>577032</v>
      </c>
      <c r="J39" s="277">
        <v>1508824</v>
      </c>
      <c r="K39" s="278">
        <f t="shared" si="5"/>
        <v>2085856</v>
      </c>
    </row>
    <row r="40" spans="2:30" ht="25.15" customHeight="1" x14ac:dyDescent="0.2">
      <c r="B40" s="376">
        <v>2020</v>
      </c>
      <c r="C40" s="277">
        <v>5</v>
      </c>
      <c r="D40" s="277">
        <v>18</v>
      </c>
      <c r="E40" s="278">
        <f t="shared" si="3"/>
        <v>23</v>
      </c>
      <c r="F40" s="279">
        <v>22135</v>
      </c>
      <c r="G40" s="277">
        <v>105733</v>
      </c>
      <c r="H40" s="278">
        <f t="shared" si="4"/>
        <v>127868</v>
      </c>
      <c r="I40" s="279">
        <v>358808</v>
      </c>
      <c r="J40" s="277">
        <v>3294376</v>
      </c>
      <c r="K40" s="278">
        <f t="shared" si="5"/>
        <v>3653184</v>
      </c>
    </row>
    <row r="41" spans="2:30" ht="25.15" customHeight="1" x14ac:dyDescent="0.2">
      <c r="B41" s="376">
        <v>2021</v>
      </c>
      <c r="C41" s="277">
        <v>25</v>
      </c>
      <c r="D41" s="277">
        <v>13</v>
      </c>
      <c r="E41" s="278">
        <f t="shared" si="3"/>
        <v>38</v>
      </c>
      <c r="F41" s="279">
        <v>7772</v>
      </c>
      <c r="G41" s="277">
        <v>201370</v>
      </c>
      <c r="H41" s="278">
        <f t="shared" si="4"/>
        <v>209142</v>
      </c>
      <c r="I41" s="279">
        <v>607096</v>
      </c>
      <c r="J41" s="277">
        <v>2420144</v>
      </c>
      <c r="K41" s="278">
        <f>SUM(I41:J41)</f>
        <v>3027240</v>
      </c>
    </row>
    <row r="42" spans="2:30" ht="25.15" customHeight="1" x14ac:dyDescent="0.2">
      <c r="B42" s="376">
        <v>2022</v>
      </c>
      <c r="C42" s="277">
        <v>23</v>
      </c>
      <c r="D42" s="277">
        <v>18</v>
      </c>
      <c r="E42" s="278">
        <f t="shared" ref="E42:E44" si="6">SUM(C42:D42)</f>
        <v>41</v>
      </c>
      <c r="F42" s="279">
        <v>6977</v>
      </c>
      <c r="G42" s="277">
        <v>22168</v>
      </c>
      <c r="H42" s="278">
        <f t="shared" ref="H42:H44" si="7">SUM(F42:G42)</f>
        <v>29145</v>
      </c>
      <c r="I42" s="279">
        <v>537048</v>
      </c>
      <c r="J42" s="277">
        <v>1585884</v>
      </c>
      <c r="K42" s="278">
        <f>SUM(I42:J42)</f>
        <v>2122932</v>
      </c>
    </row>
    <row r="43" spans="2:30" ht="25.15" customHeight="1" x14ac:dyDescent="0.2">
      <c r="B43" s="376">
        <v>2023</v>
      </c>
      <c r="C43" s="277">
        <v>25</v>
      </c>
      <c r="D43" s="277">
        <v>30</v>
      </c>
      <c r="E43" s="278">
        <f t="shared" si="6"/>
        <v>55</v>
      </c>
      <c r="F43" s="279">
        <v>32756</v>
      </c>
      <c r="G43" s="277">
        <v>45127</v>
      </c>
      <c r="H43" s="278">
        <f t="shared" si="7"/>
        <v>77883</v>
      </c>
      <c r="I43" s="279">
        <v>874993</v>
      </c>
      <c r="J43" s="277">
        <v>587016</v>
      </c>
      <c r="K43" s="278">
        <f>SUM(I43:J43)</f>
        <v>1462009</v>
      </c>
    </row>
    <row r="44" spans="2:30" ht="25.15" customHeight="1" x14ac:dyDescent="0.2">
      <c r="B44" s="376">
        <v>2024</v>
      </c>
      <c r="C44" s="277">
        <v>22</v>
      </c>
      <c r="D44" s="277">
        <v>41</v>
      </c>
      <c r="E44" s="278">
        <f t="shared" si="6"/>
        <v>63</v>
      </c>
      <c r="F44" s="279">
        <v>22154</v>
      </c>
      <c r="G44" s="277">
        <v>54550</v>
      </c>
      <c r="H44" s="278">
        <f t="shared" si="7"/>
        <v>76704</v>
      </c>
      <c r="I44" s="279">
        <v>586856</v>
      </c>
      <c r="J44" s="277">
        <v>1708660</v>
      </c>
      <c r="K44" s="278">
        <f>SUM(I44:J44)</f>
        <v>2295516</v>
      </c>
    </row>
    <row r="45" spans="2:30" ht="25.15" customHeight="1" x14ac:dyDescent="0.2">
      <c r="B45" s="376">
        <v>2025</v>
      </c>
      <c r="C45" s="277">
        <v>30</v>
      </c>
      <c r="D45" s="277">
        <v>28</v>
      </c>
      <c r="E45" s="278">
        <f>SUM(C45:D45)</f>
        <v>58</v>
      </c>
      <c r="F45" s="279">
        <v>33238</v>
      </c>
      <c r="G45" s="277">
        <v>41128</v>
      </c>
      <c r="H45" s="278">
        <f t="shared" si="4"/>
        <v>74366</v>
      </c>
      <c r="I45" s="279">
        <v>2172142</v>
      </c>
      <c r="J45" s="277">
        <v>5609592</v>
      </c>
      <c r="K45" s="278">
        <f>SUM(I45:J45)</f>
        <v>7781734</v>
      </c>
    </row>
    <row r="46" spans="2:30" ht="11.45" customHeight="1" x14ac:dyDescent="0.2">
      <c r="B46" s="376"/>
      <c r="C46" s="277"/>
      <c r="D46" s="277"/>
      <c r="E46" s="278"/>
      <c r="F46" s="279"/>
      <c r="G46" s="277"/>
      <c r="H46" s="278"/>
      <c r="I46" s="279"/>
      <c r="J46" s="277"/>
      <c r="K46" s="278"/>
    </row>
    <row r="47" spans="2:30" s="1" customFormat="1" ht="29.25" customHeight="1" x14ac:dyDescent="0.2">
      <c r="B47" s="5" t="s">
        <v>217</v>
      </c>
      <c r="C47" s="6"/>
      <c r="D47" s="6"/>
      <c r="E47" s="6"/>
      <c r="F47" s="6"/>
      <c r="G47" s="7"/>
      <c r="H47" s="6"/>
      <c r="I47" s="6"/>
      <c r="Y47" s="8"/>
      <c r="Z47" s="4"/>
      <c r="AA47" s="8"/>
      <c r="AB47" s="9"/>
      <c r="AC47" s="8"/>
      <c r="AD47" s="9"/>
    </row>
    <row r="48" spans="2:30" s="1" customFormat="1" ht="29.25" customHeight="1" x14ac:dyDescent="0.2">
      <c r="B48" s="10" t="s">
        <v>257</v>
      </c>
      <c r="C48" s="11"/>
      <c r="D48" s="11"/>
      <c r="E48" s="11"/>
      <c r="F48" s="11"/>
      <c r="G48" s="11"/>
      <c r="H48" s="12"/>
      <c r="I48" s="12"/>
      <c r="J48" s="12"/>
      <c r="K48" s="12"/>
      <c r="Z48" s="13"/>
      <c r="AA48" s="14"/>
      <c r="AB48" s="13"/>
      <c r="AC48" s="14"/>
      <c r="AD48" s="15"/>
    </row>
    <row r="49" spans="1:38" s="1" customFormat="1" ht="29.25" customHeight="1" x14ac:dyDescent="0.2">
      <c r="B49" s="16" t="s">
        <v>245</v>
      </c>
      <c r="D49" s="17"/>
      <c r="E49" s="18"/>
      <c r="F49" s="17"/>
      <c r="G49" s="19"/>
      <c r="H49" s="20"/>
      <c r="I49" s="21"/>
      <c r="J49" s="21"/>
    </row>
    <row r="50" spans="1:38" s="1" customFormat="1" ht="31.9" customHeight="1" x14ac:dyDescent="0.2">
      <c r="A50" s="20"/>
      <c r="B50" s="727" t="s">
        <v>206</v>
      </c>
      <c r="C50" s="727"/>
      <c r="D50" s="727"/>
      <c r="E50" s="727"/>
      <c r="F50" s="727"/>
      <c r="G50" s="727"/>
      <c r="H50" s="727"/>
      <c r="I50" s="727"/>
      <c r="J50" s="727"/>
      <c r="K50" s="727"/>
      <c r="T50" s="133"/>
      <c r="U50" s="133"/>
      <c r="V50" s="133"/>
      <c r="W50" s="133"/>
      <c r="X50" s="133"/>
      <c r="Y50" s="133"/>
      <c r="Z50" s="133"/>
      <c r="AA50" s="133"/>
      <c r="AB50" s="133"/>
      <c r="AC50" s="133"/>
      <c r="AD50" s="133"/>
      <c r="AE50" s="133"/>
      <c r="AF50" s="133"/>
      <c r="AG50" s="133"/>
      <c r="AH50" s="133"/>
      <c r="AI50" s="133"/>
      <c r="AJ50" s="133"/>
      <c r="AK50" s="133"/>
      <c r="AL50" s="134"/>
    </row>
  </sheetData>
  <mergeCells count="9">
    <mergeCell ref="B50:K50"/>
    <mergeCell ref="B1:K1"/>
    <mergeCell ref="B2:K2"/>
    <mergeCell ref="B3:K3"/>
    <mergeCell ref="B4:K4"/>
    <mergeCell ref="B5:B6"/>
    <mergeCell ref="C5:E5"/>
    <mergeCell ref="F5:H5"/>
    <mergeCell ref="I5:K5"/>
  </mergeCells>
  <phoneticPr fontId="2" type="noConversion"/>
  <printOptions horizontalCentered="1" verticalCentered="1"/>
  <pageMargins left="0" right="0" top="0" bottom="0" header="0" footer="0"/>
  <pageSetup paperSize="9" scale="50" orientation="portrait" r:id="rId1"/>
  <headerFooter alignWithMargins="0"/>
  <ignoredErrors>
    <ignoredError sqref="E7:E37"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AL36"/>
  <sheetViews>
    <sheetView showGridLines="0" tabSelected="1" zoomScale="70" zoomScaleNormal="70" workbookViewId="0">
      <selection activeCell="V27" sqref="V27"/>
    </sheetView>
  </sheetViews>
  <sheetFormatPr baseColWidth="10" defaultColWidth="11.42578125" defaultRowHeight="12.75" x14ac:dyDescent="0.2"/>
  <cols>
    <col min="1" max="1" width="8.28515625" style="38" customWidth="1"/>
    <col min="2" max="2" width="16.42578125" style="38" customWidth="1"/>
    <col min="3" max="3" width="13" style="137" bestFit="1" customWidth="1"/>
    <col min="4" max="4" width="10.7109375" style="138" customWidth="1"/>
    <col min="5" max="5" width="11.5703125" style="38" customWidth="1"/>
    <col min="6" max="6" width="11.42578125" style="38" customWidth="1"/>
    <col min="7" max="7" width="11.5703125" style="38" customWidth="1"/>
    <col min="8" max="8" width="11" style="38" customWidth="1"/>
    <col min="9" max="9" width="15.28515625" style="38" customWidth="1"/>
    <col min="10" max="10" width="3.7109375" style="38" customWidth="1"/>
    <col min="11" max="11" width="9.5703125" style="38" customWidth="1"/>
    <col min="12" max="12" width="16.28515625" style="38" customWidth="1"/>
    <col min="13" max="13" width="9.7109375" style="38" customWidth="1"/>
    <col min="14" max="14" width="17.42578125" style="38" bestFit="1" customWidth="1"/>
    <col min="15" max="15" width="11.7109375" style="38" customWidth="1"/>
    <col min="16" max="16" width="17.28515625" style="38" bestFit="1" customWidth="1"/>
    <col min="17" max="17" width="3.7109375" style="38" customWidth="1"/>
    <col min="18" max="18" width="9.28515625" style="38" customWidth="1"/>
    <col min="19" max="19" width="20" style="38" customWidth="1"/>
    <col min="20" max="20" width="3.5703125" style="38" customWidth="1"/>
    <col min="21" max="21" width="11.28515625" style="38" customWidth="1"/>
    <col min="22" max="22" width="20.28515625" style="38" customWidth="1"/>
    <col min="23" max="23" width="13.5703125" style="38" customWidth="1"/>
    <col min="24" max="24" width="8.28515625" style="38" customWidth="1"/>
    <col min="25" max="16384" width="11.42578125" style="38"/>
  </cols>
  <sheetData>
    <row r="1" spans="2:23" ht="30" customHeight="1" x14ac:dyDescent="0.2">
      <c r="B1" s="698" t="s">
        <v>45</v>
      </c>
      <c r="C1" s="698"/>
      <c r="D1" s="698"/>
      <c r="E1" s="698"/>
      <c r="F1" s="698"/>
      <c r="G1" s="698"/>
      <c r="H1" s="698"/>
      <c r="I1" s="698"/>
      <c r="J1" s="698"/>
      <c r="K1" s="698"/>
      <c r="L1" s="698"/>
      <c r="M1" s="698"/>
      <c r="N1" s="698"/>
      <c r="O1" s="698"/>
      <c r="P1" s="698"/>
      <c r="Q1" s="698"/>
      <c r="R1" s="698"/>
      <c r="S1" s="698"/>
      <c r="T1" s="698"/>
      <c r="U1" s="698"/>
      <c r="V1" s="698"/>
      <c r="W1" s="698"/>
    </row>
    <row r="2" spans="2:23" s="21" customFormat="1" ht="25.15" customHeight="1" x14ac:dyDescent="0.2">
      <c r="B2" s="715" t="s">
        <v>145</v>
      </c>
      <c r="C2" s="715"/>
      <c r="D2" s="715"/>
      <c r="E2" s="715"/>
      <c r="F2" s="715"/>
      <c r="G2" s="715"/>
      <c r="H2" s="715"/>
      <c r="I2" s="715"/>
      <c r="J2" s="715"/>
      <c r="K2" s="715"/>
      <c r="L2" s="715"/>
      <c r="M2" s="715"/>
      <c r="N2" s="715"/>
      <c r="O2" s="715"/>
      <c r="P2" s="715"/>
      <c r="Q2" s="715"/>
      <c r="R2" s="715"/>
      <c r="S2" s="715"/>
      <c r="T2" s="715"/>
      <c r="U2" s="715"/>
      <c r="V2" s="715"/>
      <c r="W2" s="715"/>
    </row>
    <row r="3" spans="2:23" s="21" customFormat="1" ht="27.75" customHeight="1" x14ac:dyDescent="0.2">
      <c r="B3" s="698" t="s">
        <v>106</v>
      </c>
      <c r="C3" s="698"/>
      <c r="D3" s="698"/>
      <c r="E3" s="698"/>
      <c r="F3" s="698"/>
      <c r="G3" s="698"/>
      <c r="H3" s="698"/>
      <c r="I3" s="698"/>
      <c r="J3" s="698"/>
      <c r="K3" s="698"/>
      <c r="L3" s="698"/>
      <c r="M3" s="698"/>
      <c r="N3" s="698"/>
      <c r="O3" s="698"/>
      <c r="P3" s="698"/>
      <c r="Q3" s="698"/>
      <c r="R3" s="698"/>
      <c r="S3" s="698"/>
      <c r="T3" s="698"/>
      <c r="U3" s="698"/>
      <c r="V3" s="698"/>
      <c r="W3" s="698"/>
    </row>
    <row r="4" spans="2:23" s="21" customFormat="1" ht="25.15" customHeight="1" x14ac:dyDescent="0.2">
      <c r="B4" s="698">
        <v>2025</v>
      </c>
      <c r="C4" s="698"/>
      <c r="D4" s="698"/>
      <c r="E4" s="698"/>
      <c r="F4" s="698"/>
      <c r="G4" s="698"/>
      <c r="H4" s="698"/>
      <c r="I4" s="698"/>
      <c r="J4" s="698"/>
      <c r="K4" s="698"/>
      <c r="L4" s="698"/>
      <c r="M4" s="698"/>
      <c r="N4" s="698"/>
      <c r="O4" s="698"/>
      <c r="P4" s="698"/>
      <c r="Q4" s="698"/>
      <c r="R4" s="698"/>
      <c r="S4" s="698"/>
      <c r="T4" s="698"/>
      <c r="U4" s="698"/>
      <c r="V4" s="698"/>
      <c r="W4" s="698"/>
    </row>
    <row r="5" spans="2:23" s="21" customFormat="1" ht="46.9" customHeight="1" x14ac:dyDescent="0.2">
      <c r="B5" s="723" t="s">
        <v>24</v>
      </c>
      <c r="C5" s="783" t="s">
        <v>2</v>
      </c>
      <c r="D5" s="783"/>
      <c r="E5" s="783"/>
      <c r="F5" s="783"/>
      <c r="G5" s="783"/>
      <c r="H5" s="783"/>
      <c r="I5" s="710" t="s">
        <v>15</v>
      </c>
      <c r="J5" s="711"/>
      <c r="K5" s="711"/>
      <c r="L5" s="711"/>
      <c r="M5" s="711"/>
      <c r="N5" s="711"/>
      <c r="O5" s="712"/>
      <c r="P5" s="710" t="s">
        <v>137</v>
      </c>
      <c r="Q5" s="711"/>
      <c r="R5" s="711"/>
      <c r="S5" s="711"/>
      <c r="T5" s="711"/>
      <c r="U5" s="711"/>
      <c r="V5" s="711"/>
      <c r="W5" s="711"/>
    </row>
    <row r="6" spans="2:23" s="21" customFormat="1" ht="25.15" customHeight="1" x14ac:dyDescent="0.2">
      <c r="B6" s="723"/>
      <c r="C6" s="784" t="s">
        <v>64</v>
      </c>
      <c r="D6" s="785"/>
      <c r="E6" s="785" t="s">
        <v>159</v>
      </c>
      <c r="F6" s="785" t="s">
        <v>5</v>
      </c>
      <c r="G6" s="787" t="s">
        <v>6</v>
      </c>
      <c r="H6" s="787"/>
      <c r="I6" s="785" t="s">
        <v>64</v>
      </c>
      <c r="J6" s="785"/>
      <c r="K6" s="785"/>
      <c r="L6" s="785" t="s">
        <v>159</v>
      </c>
      <c r="M6" s="785" t="s">
        <v>5</v>
      </c>
      <c r="N6" s="787" t="s">
        <v>6</v>
      </c>
      <c r="O6" s="787"/>
      <c r="P6" s="785" t="s">
        <v>64</v>
      </c>
      <c r="Q6" s="785"/>
      <c r="R6" s="785"/>
      <c r="S6" s="785" t="s">
        <v>159</v>
      </c>
      <c r="T6" s="785"/>
      <c r="U6" s="785" t="s">
        <v>5</v>
      </c>
      <c r="V6" s="732" t="s">
        <v>6</v>
      </c>
      <c r="W6" s="786"/>
    </row>
    <row r="7" spans="2:23" s="21" customFormat="1" ht="25.15" customHeight="1" x14ac:dyDescent="0.2">
      <c r="B7" s="723"/>
      <c r="C7" s="283" t="s">
        <v>63</v>
      </c>
      <c r="D7" s="301" t="s">
        <v>5</v>
      </c>
      <c r="E7" s="302" t="s">
        <v>63</v>
      </c>
      <c r="F7" s="301" t="s">
        <v>5</v>
      </c>
      <c r="G7" s="302" t="s">
        <v>63</v>
      </c>
      <c r="H7" s="301" t="s">
        <v>5</v>
      </c>
      <c r="I7" s="302" t="s">
        <v>63</v>
      </c>
      <c r="J7" s="283"/>
      <c r="K7" s="301" t="s">
        <v>5</v>
      </c>
      <c r="L7" s="302" t="s">
        <v>63</v>
      </c>
      <c r="M7" s="301" t="s">
        <v>5</v>
      </c>
      <c r="N7" s="302" t="s">
        <v>63</v>
      </c>
      <c r="O7" s="301" t="s">
        <v>5</v>
      </c>
      <c r="P7" s="302" t="s">
        <v>63</v>
      </c>
      <c r="Q7" s="283"/>
      <c r="R7" s="301" t="s">
        <v>5</v>
      </c>
      <c r="S7" s="302" t="s">
        <v>63</v>
      </c>
      <c r="T7" s="283"/>
      <c r="U7" s="301" t="s">
        <v>5</v>
      </c>
      <c r="V7" s="283" t="s">
        <v>63</v>
      </c>
      <c r="W7" s="284" t="s">
        <v>5</v>
      </c>
    </row>
    <row r="8" spans="2:23" s="28" customFormat="1" ht="21" customHeight="1" x14ac:dyDescent="0.2">
      <c r="B8" s="374"/>
      <c r="C8" s="285"/>
      <c r="D8" s="286"/>
      <c r="E8" s="285"/>
      <c r="F8" s="286"/>
      <c r="G8" s="285"/>
      <c r="H8" s="286"/>
      <c r="I8" s="285"/>
      <c r="J8" s="285"/>
      <c r="K8" s="286"/>
      <c r="L8" s="285"/>
      <c r="M8" s="286"/>
      <c r="N8" s="285"/>
      <c r="O8" s="286"/>
      <c r="P8" s="285"/>
      <c r="Q8" s="285"/>
      <c r="R8" s="286"/>
      <c r="S8" s="285"/>
      <c r="T8" s="285"/>
      <c r="U8" s="286"/>
      <c r="V8" s="285"/>
      <c r="W8" s="286"/>
    </row>
    <row r="9" spans="2:23" s="21" customFormat="1" ht="30" customHeight="1" x14ac:dyDescent="0.2">
      <c r="B9" s="388" t="s">
        <v>39</v>
      </c>
      <c r="C9" s="277">
        <v>0</v>
      </c>
      <c r="D9" s="287">
        <f>C9*100/G22</f>
        <v>0</v>
      </c>
      <c r="E9" s="279">
        <v>2</v>
      </c>
      <c r="F9" s="287">
        <f>E9*100/G22</f>
        <v>3.4482758620689653</v>
      </c>
      <c r="G9" s="278">
        <f t="shared" ref="G9:H20" si="0">SUM(C9+E9)</f>
        <v>2</v>
      </c>
      <c r="H9" s="288">
        <f t="shared" si="0"/>
        <v>3.4482758620689653</v>
      </c>
      <c r="I9" s="279">
        <v>0</v>
      </c>
      <c r="J9" s="279"/>
      <c r="K9" s="287">
        <f>I9*100/N22</f>
        <v>0</v>
      </c>
      <c r="L9" s="279">
        <v>60</v>
      </c>
      <c r="M9" s="287">
        <f>L9*100/N22</f>
        <v>8.0682032111448782E-2</v>
      </c>
      <c r="N9" s="278">
        <f t="shared" ref="N9:N20" si="1">SUM(I9+L9)</f>
        <v>60</v>
      </c>
      <c r="O9" s="288">
        <f>SUM(K9+M9)</f>
        <v>8.0682032111448782E-2</v>
      </c>
      <c r="P9" s="279">
        <v>66720</v>
      </c>
      <c r="Q9" s="544" t="s">
        <v>326</v>
      </c>
      <c r="R9" s="287">
        <f>P9*100/V22</f>
        <v>0.85739245263330766</v>
      </c>
      <c r="S9" s="279">
        <v>9312</v>
      </c>
      <c r="T9" s="289"/>
      <c r="U9" s="287">
        <f>S9*100/V22</f>
        <v>0.11966484590709474</v>
      </c>
      <c r="V9" s="278">
        <f>SUM(P9+S9)</f>
        <v>76032</v>
      </c>
      <c r="W9" s="288">
        <f t="shared" ref="W9:W20" si="2">SUM(R9+U9)</f>
        <v>0.97705729854040235</v>
      </c>
    </row>
    <row r="10" spans="2:23" s="21" customFormat="1" ht="30" customHeight="1" x14ac:dyDescent="0.2">
      <c r="B10" s="388" t="s">
        <v>40</v>
      </c>
      <c r="C10" s="277">
        <v>2</v>
      </c>
      <c r="D10" s="287">
        <f>C10*100/G22</f>
        <v>3.4482758620689653</v>
      </c>
      <c r="E10" s="279">
        <v>1</v>
      </c>
      <c r="F10" s="287">
        <f>E10*100/G22</f>
        <v>1.7241379310344827</v>
      </c>
      <c r="G10" s="278">
        <f t="shared" si="0"/>
        <v>3</v>
      </c>
      <c r="H10" s="288">
        <f t="shared" si="0"/>
        <v>5.1724137931034484</v>
      </c>
      <c r="I10" s="279">
        <v>115</v>
      </c>
      <c r="J10" s="279"/>
      <c r="K10" s="287">
        <f>I10*100/N22</f>
        <v>0.1546405615469435</v>
      </c>
      <c r="L10" s="279">
        <v>15</v>
      </c>
      <c r="M10" s="287">
        <f>L10*100/N22</f>
        <v>2.0170508027862195E-2</v>
      </c>
      <c r="N10" s="278">
        <f t="shared" si="1"/>
        <v>130</v>
      </c>
      <c r="O10" s="288">
        <f>SUM(K10+M10)</f>
        <v>0.17481106957480569</v>
      </c>
      <c r="P10" s="279">
        <v>18104</v>
      </c>
      <c r="Q10" s="279"/>
      <c r="R10" s="287">
        <f>P10*100/V22</f>
        <v>0.23264737653587234</v>
      </c>
      <c r="S10" s="279">
        <v>360</v>
      </c>
      <c r="T10" s="290"/>
      <c r="U10" s="287">
        <f>S10*100/V22</f>
        <v>4.626218269604178E-3</v>
      </c>
      <c r="V10" s="278">
        <f t="shared" ref="V10:V20" si="3">SUM(P10+S10)</f>
        <v>18464</v>
      </c>
      <c r="W10" s="288">
        <f t="shared" si="2"/>
        <v>0.23727359480547652</v>
      </c>
    </row>
    <row r="11" spans="2:23" s="21" customFormat="1" ht="30" customHeight="1" x14ac:dyDescent="0.2">
      <c r="B11" s="388" t="s">
        <v>41</v>
      </c>
      <c r="C11" s="277">
        <v>1</v>
      </c>
      <c r="D11" s="287">
        <f>C11*100/G22</f>
        <v>1.7241379310344827</v>
      </c>
      <c r="E11" s="279">
        <v>2</v>
      </c>
      <c r="F11" s="287">
        <f>E11*100/G22</f>
        <v>3.4482758620689653</v>
      </c>
      <c r="G11" s="278">
        <f t="shared" si="0"/>
        <v>3</v>
      </c>
      <c r="H11" s="288">
        <f t="shared" si="0"/>
        <v>5.1724137931034484</v>
      </c>
      <c r="I11" s="279">
        <v>30</v>
      </c>
      <c r="J11" s="279"/>
      <c r="K11" s="287">
        <f>I11*100/N22</f>
        <v>4.0341016055724391E-2</v>
      </c>
      <c r="L11" s="279">
        <v>935</v>
      </c>
      <c r="M11" s="287">
        <f>L11*100/N22</f>
        <v>1.2572950004034102</v>
      </c>
      <c r="N11" s="278">
        <f t="shared" si="1"/>
        <v>965</v>
      </c>
      <c r="O11" s="288">
        <f>SUM(K11+M11)</f>
        <v>1.2976360164591347</v>
      </c>
      <c r="P11" s="279">
        <v>17088</v>
      </c>
      <c r="Q11" s="289"/>
      <c r="R11" s="287">
        <f>P11*100/V22</f>
        <v>0.219591160530545</v>
      </c>
      <c r="S11" s="279">
        <v>17080</v>
      </c>
      <c r="T11" s="291"/>
      <c r="U11" s="287">
        <f>S11*100/V22</f>
        <v>0.21948835568010935</v>
      </c>
      <c r="V11" s="278">
        <f t="shared" si="3"/>
        <v>34168</v>
      </c>
      <c r="W11" s="288">
        <f t="shared" si="2"/>
        <v>0.43907951621065433</v>
      </c>
    </row>
    <row r="12" spans="2:23" s="21" customFormat="1" ht="30" customHeight="1" x14ac:dyDescent="0.2">
      <c r="B12" s="388" t="s">
        <v>42</v>
      </c>
      <c r="C12" s="277">
        <v>1</v>
      </c>
      <c r="D12" s="287">
        <f>C12*100/G22</f>
        <v>1.7241379310344827</v>
      </c>
      <c r="E12" s="279">
        <v>4</v>
      </c>
      <c r="F12" s="287">
        <f>E12*100/G22</f>
        <v>6.8965517241379306</v>
      </c>
      <c r="G12" s="278">
        <f t="shared" si="0"/>
        <v>5</v>
      </c>
      <c r="H12" s="288">
        <f t="shared" si="0"/>
        <v>8.6206896551724128</v>
      </c>
      <c r="I12" s="279">
        <v>109</v>
      </c>
      <c r="J12" s="279"/>
      <c r="K12" s="287">
        <f>I12*100/N22</f>
        <v>0.14657235833579862</v>
      </c>
      <c r="L12" s="279">
        <v>445</v>
      </c>
      <c r="M12" s="287">
        <f>L12*100/N22</f>
        <v>0.59839173815991176</v>
      </c>
      <c r="N12" s="278">
        <f t="shared" si="1"/>
        <v>554</v>
      </c>
      <c r="O12" s="288">
        <f t="shared" ref="O12:O20" si="4">SUM(K12+M12)</f>
        <v>0.74496409649571038</v>
      </c>
      <c r="P12" s="279">
        <v>23688</v>
      </c>
      <c r="Q12" s="279"/>
      <c r="R12" s="287">
        <f>P12*100/V22</f>
        <v>0.30440516213995494</v>
      </c>
      <c r="S12" s="279">
        <v>6280</v>
      </c>
      <c r="T12" s="277"/>
      <c r="U12" s="287">
        <f>S12*100/V22</f>
        <v>8.0701807591984004E-2</v>
      </c>
      <c r="V12" s="278">
        <f t="shared" si="3"/>
        <v>29968</v>
      </c>
      <c r="W12" s="288">
        <f t="shared" si="2"/>
        <v>0.38510696973193892</v>
      </c>
    </row>
    <row r="13" spans="2:23" s="21" customFormat="1" ht="30" customHeight="1" x14ac:dyDescent="0.2">
      <c r="B13" s="388" t="s">
        <v>77</v>
      </c>
      <c r="C13" s="277">
        <v>3</v>
      </c>
      <c r="D13" s="287">
        <f>C13*100/G22</f>
        <v>5.1724137931034484</v>
      </c>
      <c r="E13" s="279">
        <v>1</v>
      </c>
      <c r="F13" s="292">
        <f>E13*100/G22</f>
        <v>1.7241379310344827</v>
      </c>
      <c r="G13" s="278">
        <f t="shared" si="0"/>
        <v>4</v>
      </c>
      <c r="H13" s="293">
        <f t="shared" si="0"/>
        <v>6.8965517241379306</v>
      </c>
      <c r="I13" s="279">
        <v>369</v>
      </c>
      <c r="J13" s="279"/>
      <c r="K13" s="287">
        <f>I13*100/N22</f>
        <v>0.49619449748541</v>
      </c>
      <c r="L13" s="279">
        <v>30</v>
      </c>
      <c r="M13" s="292">
        <f>L13*100/N22</f>
        <v>4.0341016055724391E-2</v>
      </c>
      <c r="N13" s="278">
        <f t="shared" si="1"/>
        <v>399</v>
      </c>
      <c r="O13" s="293">
        <f t="shared" si="4"/>
        <v>0.53653551354113438</v>
      </c>
      <c r="P13" s="279">
        <v>38440</v>
      </c>
      <c r="Q13" s="294"/>
      <c r="R13" s="287">
        <f>P13*100/V22</f>
        <v>0.49397730634329057</v>
      </c>
      <c r="S13" s="279">
        <v>480</v>
      </c>
      <c r="T13" s="277"/>
      <c r="U13" s="292">
        <f>S13*100/V22</f>
        <v>6.1682910261389046E-3</v>
      </c>
      <c r="V13" s="278">
        <f t="shared" si="3"/>
        <v>38920</v>
      </c>
      <c r="W13" s="293">
        <f t="shared" si="2"/>
        <v>0.50014559736942943</v>
      </c>
    </row>
    <row r="14" spans="2:23" s="21" customFormat="1" ht="30" customHeight="1" x14ac:dyDescent="0.2">
      <c r="B14" s="388" t="s">
        <v>43</v>
      </c>
      <c r="C14" s="277">
        <v>5</v>
      </c>
      <c r="D14" s="287">
        <f>C14*100/G22</f>
        <v>8.6206896551724146</v>
      </c>
      <c r="E14" s="279">
        <v>4</v>
      </c>
      <c r="F14" s="287">
        <f>E14*100/G22</f>
        <v>6.8965517241379306</v>
      </c>
      <c r="G14" s="278">
        <f t="shared" si="0"/>
        <v>9</v>
      </c>
      <c r="H14" s="288">
        <f t="shared" si="0"/>
        <v>15.517241379310345</v>
      </c>
      <c r="I14" s="279">
        <v>633</v>
      </c>
      <c r="J14" s="279"/>
      <c r="K14" s="287">
        <f>I14*100/N22</f>
        <v>0.85119543877578463</v>
      </c>
      <c r="L14" s="279">
        <v>549</v>
      </c>
      <c r="M14" s="287">
        <f>L14*100/N22</f>
        <v>0.73824059381975637</v>
      </c>
      <c r="N14" s="278">
        <f t="shared" si="1"/>
        <v>1182</v>
      </c>
      <c r="O14" s="288">
        <f t="shared" si="4"/>
        <v>1.589436032595541</v>
      </c>
      <c r="P14" s="279">
        <v>20368</v>
      </c>
      <c r="Q14" s="279"/>
      <c r="R14" s="287">
        <f>P14*100/V22</f>
        <v>0.26174114920916086</v>
      </c>
      <c r="S14" s="279">
        <v>13368</v>
      </c>
      <c r="T14" s="277"/>
      <c r="U14" s="287">
        <f>S14*100/V22</f>
        <v>0.17178690507796848</v>
      </c>
      <c r="V14" s="278">
        <f t="shared" si="3"/>
        <v>33736</v>
      </c>
      <c r="W14" s="288">
        <f t="shared" si="2"/>
        <v>0.43352805428712937</v>
      </c>
    </row>
    <row r="15" spans="2:23" s="21" customFormat="1" ht="30" customHeight="1" x14ac:dyDescent="0.2">
      <c r="B15" s="388" t="s">
        <v>56</v>
      </c>
      <c r="C15" s="277">
        <v>2</v>
      </c>
      <c r="D15" s="287">
        <f>C15*100/G22</f>
        <v>3.4482758620689653</v>
      </c>
      <c r="E15" s="279">
        <v>2</v>
      </c>
      <c r="F15" s="287">
        <f>E15*100/G22</f>
        <v>3.4482758620689653</v>
      </c>
      <c r="G15" s="278">
        <f t="shared" si="0"/>
        <v>4</v>
      </c>
      <c r="H15" s="288">
        <f t="shared" si="0"/>
        <v>6.8965517241379306</v>
      </c>
      <c r="I15" s="279">
        <v>3684</v>
      </c>
      <c r="J15" s="279"/>
      <c r="K15" s="287">
        <f>I15*100/N22</f>
        <v>4.953876771642955</v>
      </c>
      <c r="L15" s="279">
        <v>377</v>
      </c>
      <c r="M15" s="287">
        <f>L15*100/N22</f>
        <v>0.5069521017669365</v>
      </c>
      <c r="N15" s="278">
        <f t="shared" si="1"/>
        <v>4061</v>
      </c>
      <c r="O15" s="288">
        <f t="shared" si="4"/>
        <v>5.4608288734098913</v>
      </c>
      <c r="P15" s="279">
        <v>94876</v>
      </c>
      <c r="Q15" s="295"/>
      <c r="R15" s="287">
        <f>P15*100/V22</f>
        <v>1.2192141237415723</v>
      </c>
      <c r="S15" s="279">
        <v>6032</v>
      </c>
      <c r="T15" s="296"/>
      <c r="U15" s="287">
        <f>S15*100/V22</f>
        <v>7.7514857228478895E-2</v>
      </c>
      <c r="V15" s="278">
        <f t="shared" si="3"/>
        <v>100908</v>
      </c>
      <c r="W15" s="288">
        <f t="shared" si="2"/>
        <v>1.2967289809700513</v>
      </c>
    </row>
    <row r="16" spans="2:23" s="21" customFormat="1" ht="30" customHeight="1" x14ac:dyDescent="0.2">
      <c r="B16" s="388" t="s">
        <v>55</v>
      </c>
      <c r="C16" s="297">
        <v>4</v>
      </c>
      <c r="D16" s="287">
        <f>C16*100/G22</f>
        <v>6.8965517241379306</v>
      </c>
      <c r="E16" s="297">
        <v>1</v>
      </c>
      <c r="F16" s="287">
        <f>E16*100/G22</f>
        <v>1.7241379310344827</v>
      </c>
      <c r="G16" s="278">
        <f t="shared" si="0"/>
        <v>5</v>
      </c>
      <c r="H16" s="288">
        <f t="shared" si="0"/>
        <v>8.6206896551724128</v>
      </c>
      <c r="I16" s="279">
        <v>2219</v>
      </c>
      <c r="J16" s="279"/>
      <c r="K16" s="287">
        <f>I16*100/N22</f>
        <v>2.9838904875884142</v>
      </c>
      <c r="L16" s="279">
        <v>39</v>
      </c>
      <c r="M16" s="287">
        <f>L16*100/N22</f>
        <v>5.2443320872441704E-2</v>
      </c>
      <c r="N16" s="278">
        <f t="shared" si="1"/>
        <v>2258</v>
      </c>
      <c r="O16" s="288">
        <f t="shared" si="4"/>
        <v>3.036333808460856</v>
      </c>
      <c r="P16" s="279">
        <v>196712</v>
      </c>
      <c r="Q16" s="298"/>
      <c r="R16" s="287">
        <f>P16*100/V22</f>
        <v>2.5278684673621585</v>
      </c>
      <c r="S16" s="279">
        <v>624</v>
      </c>
      <c r="T16" s="279"/>
      <c r="U16" s="287">
        <f>S16*100/V22</f>
        <v>8.0187783339805748E-3</v>
      </c>
      <c r="V16" s="278">
        <f t="shared" si="3"/>
        <v>197336</v>
      </c>
      <c r="W16" s="288">
        <f t="shared" si="2"/>
        <v>2.5358872456961392</v>
      </c>
    </row>
    <row r="17" spans="1:38" s="21" customFormat="1" ht="30" customHeight="1" x14ac:dyDescent="0.2">
      <c r="B17" s="388" t="s">
        <v>54</v>
      </c>
      <c r="C17" s="277">
        <v>7</v>
      </c>
      <c r="D17" s="287">
        <f>C17*100/G22</f>
        <v>12.068965517241379</v>
      </c>
      <c r="E17" s="279">
        <v>4</v>
      </c>
      <c r="F17" s="287">
        <f>E17*100/G22</f>
        <v>6.8965517241379306</v>
      </c>
      <c r="G17" s="278">
        <f t="shared" si="0"/>
        <v>11</v>
      </c>
      <c r="H17" s="288">
        <f t="shared" si="0"/>
        <v>18.96551724137931</v>
      </c>
      <c r="I17" s="279">
        <v>17350</v>
      </c>
      <c r="J17" s="279"/>
      <c r="K17" s="287">
        <f>I17*100/N22</f>
        <v>23.330554285560606</v>
      </c>
      <c r="L17" s="279">
        <v>918</v>
      </c>
      <c r="M17" s="287">
        <f>L17*100/N22</f>
        <v>1.2344350913051663</v>
      </c>
      <c r="N17" s="278">
        <f>SUM(I17+L17)</f>
        <v>18268</v>
      </c>
      <c r="O17" s="288">
        <f t="shared" si="4"/>
        <v>24.564989376865771</v>
      </c>
      <c r="P17" s="279">
        <v>1321018</v>
      </c>
      <c r="Q17" s="279"/>
      <c r="R17" s="287">
        <f>P17*100/V22</f>
        <v>16.975882239099924</v>
      </c>
      <c r="S17" s="279">
        <v>62376</v>
      </c>
      <c r="T17" s="279"/>
      <c r="U17" s="287">
        <f>S17*100/V22</f>
        <v>0.80156941884675059</v>
      </c>
      <c r="V17" s="278">
        <f t="shared" si="3"/>
        <v>1383394</v>
      </c>
      <c r="W17" s="288">
        <f t="shared" si="2"/>
        <v>17.777451657946674</v>
      </c>
    </row>
    <row r="18" spans="1:38" s="21" customFormat="1" ht="30" customHeight="1" x14ac:dyDescent="0.2">
      <c r="B18" s="388" t="s">
        <v>53</v>
      </c>
      <c r="C18" s="277">
        <v>3</v>
      </c>
      <c r="D18" s="287">
        <f>C18*100/G22</f>
        <v>5.1724137931034484</v>
      </c>
      <c r="E18" s="279">
        <v>1</v>
      </c>
      <c r="F18" s="287">
        <f>E18*100/G22</f>
        <v>1.7241379310344827</v>
      </c>
      <c r="G18" s="278">
        <f t="shared" si="0"/>
        <v>4</v>
      </c>
      <c r="H18" s="288">
        <f t="shared" si="0"/>
        <v>6.8965517241379306</v>
      </c>
      <c r="I18" s="279">
        <v>8647</v>
      </c>
      <c r="J18" s="279"/>
      <c r="K18" s="287">
        <f>I18*100/N22</f>
        <v>11.62762552779496</v>
      </c>
      <c r="L18" s="279">
        <v>30</v>
      </c>
      <c r="M18" s="287">
        <f>L18*100/N22</f>
        <v>4.0341016055724391E-2</v>
      </c>
      <c r="N18" s="278">
        <f>SUM(I18+L18)</f>
        <v>8677</v>
      </c>
      <c r="O18" s="288">
        <f t="shared" si="4"/>
        <v>11.667966543850683</v>
      </c>
      <c r="P18" s="279">
        <v>138136</v>
      </c>
      <c r="Q18" s="279"/>
      <c r="R18" s="287">
        <f>P18*100/V22</f>
        <v>1.7751313524723411</v>
      </c>
      <c r="S18" s="279">
        <v>240</v>
      </c>
      <c r="T18" s="279"/>
      <c r="U18" s="287">
        <f>S18*100/V22</f>
        <v>3.0841455130694523E-3</v>
      </c>
      <c r="V18" s="278">
        <f t="shared" si="3"/>
        <v>138376</v>
      </c>
      <c r="W18" s="288">
        <f t="shared" si="2"/>
        <v>1.7782154979854106</v>
      </c>
    </row>
    <row r="19" spans="1:38" s="21" customFormat="1" ht="30" customHeight="1" x14ac:dyDescent="0.2">
      <c r="B19" s="388" t="s">
        <v>52</v>
      </c>
      <c r="C19" s="277">
        <v>2</v>
      </c>
      <c r="D19" s="287">
        <f>C19*100/G22</f>
        <v>3.4482758620689653</v>
      </c>
      <c r="E19" s="279">
        <v>5</v>
      </c>
      <c r="F19" s="287">
        <f>E19*100/G22</f>
        <v>8.6206896551724146</v>
      </c>
      <c r="G19" s="278">
        <f t="shared" si="0"/>
        <v>7</v>
      </c>
      <c r="H19" s="288">
        <f t="shared" si="0"/>
        <v>12.068965517241381</v>
      </c>
      <c r="I19" s="279">
        <v>82</v>
      </c>
      <c r="J19" s="279"/>
      <c r="K19" s="287">
        <f>I19*100/N22</f>
        <v>0.11026544388564667</v>
      </c>
      <c r="L19" s="279">
        <v>36840</v>
      </c>
      <c r="M19" s="287">
        <f>L19*100/N22</f>
        <v>49.538767716429554</v>
      </c>
      <c r="N19" s="278">
        <f>SUM(I19+L19)</f>
        <v>36922</v>
      </c>
      <c r="O19" s="288">
        <f t="shared" si="4"/>
        <v>49.649033160315199</v>
      </c>
      <c r="P19" s="279">
        <v>1312</v>
      </c>
      <c r="Q19" s="279"/>
      <c r="R19" s="287">
        <f>P19*100/V22</f>
        <v>1.6859995471446339E-2</v>
      </c>
      <c r="S19" s="279">
        <v>4699200</v>
      </c>
      <c r="T19" s="277"/>
      <c r="U19" s="287">
        <f>S19*100/V22</f>
        <v>60.387569145899874</v>
      </c>
      <c r="V19" s="278">
        <f t="shared" si="3"/>
        <v>4700512</v>
      </c>
      <c r="W19" s="288">
        <f t="shared" si="2"/>
        <v>60.404429141371324</v>
      </c>
    </row>
    <row r="20" spans="1:38" s="21" customFormat="1" ht="30.75" customHeight="1" x14ac:dyDescent="0.2">
      <c r="B20" s="388" t="s">
        <v>165</v>
      </c>
      <c r="C20" s="279">
        <v>0</v>
      </c>
      <c r="D20" s="287">
        <f>C20*100/G22</f>
        <v>0</v>
      </c>
      <c r="E20" s="279">
        <v>1</v>
      </c>
      <c r="F20" s="287">
        <f>E20*100/G22</f>
        <v>1.7241379310344827</v>
      </c>
      <c r="G20" s="278">
        <f t="shared" si="0"/>
        <v>1</v>
      </c>
      <c r="H20" s="288">
        <f t="shared" si="0"/>
        <v>1.7241379310344827</v>
      </c>
      <c r="I20" s="279">
        <v>0</v>
      </c>
      <c r="J20" s="298"/>
      <c r="K20" s="287">
        <f>I20*100/N22</f>
        <v>0</v>
      </c>
      <c r="L20" s="279">
        <v>890</v>
      </c>
      <c r="M20" s="287">
        <f>L20*100/N22</f>
        <v>1.1967834763198235</v>
      </c>
      <c r="N20" s="278">
        <f t="shared" si="1"/>
        <v>890</v>
      </c>
      <c r="O20" s="288">
        <f t="shared" si="4"/>
        <v>1.1967834763198235</v>
      </c>
      <c r="P20" s="279">
        <v>235680</v>
      </c>
      <c r="Q20" s="295"/>
      <c r="R20" s="287">
        <f>P20*100/V22</f>
        <v>3.0286308938342019</v>
      </c>
      <c r="S20" s="279">
        <v>794240</v>
      </c>
      <c r="T20" s="277"/>
      <c r="U20" s="287">
        <f>S20*100/V22</f>
        <v>10.206465551251174</v>
      </c>
      <c r="V20" s="278">
        <f t="shared" si="3"/>
        <v>1029920</v>
      </c>
      <c r="W20" s="288">
        <f t="shared" si="2"/>
        <v>13.235096445085375</v>
      </c>
    </row>
    <row r="21" spans="1:38" s="21" customFormat="1" ht="9" customHeight="1" x14ac:dyDescent="0.2">
      <c r="B21" s="388"/>
      <c r="C21" s="294"/>
      <c r="D21" s="292"/>
      <c r="E21" s="294"/>
      <c r="F21" s="292"/>
      <c r="G21" s="299"/>
      <c r="H21" s="293"/>
      <c r="I21" s="294"/>
      <c r="J21" s="294"/>
      <c r="K21" s="292"/>
      <c r="L21" s="294"/>
      <c r="M21" s="292"/>
      <c r="N21" s="299"/>
      <c r="O21" s="293"/>
      <c r="P21" s="279"/>
      <c r="Q21" s="300"/>
      <c r="R21" s="292"/>
      <c r="S21" s="279"/>
      <c r="T21" s="279"/>
      <c r="U21" s="292"/>
      <c r="V21" s="278"/>
      <c r="W21" s="293"/>
    </row>
    <row r="22" spans="1:38" s="21" customFormat="1" ht="40.5" customHeight="1" x14ac:dyDescent="0.2">
      <c r="B22" s="410" t="s">
        <v>6</v>
      </c>
      <c r="C22" s="425">
        <f>SUM(C9:C21)</f>
        <v>30</v>
      </c>
      <c r="D22" s="426">
        <f t="shared" ref="D22:M22" si="5">SUM(D9:D21)</f>
        <v>51.724137931034491</v>
      </c>
      <c r="E22" s="427">
        <f>SUM(E9:E21)</f>
        <v>28</v>
      </c>
      <c r="F22" s="426">
        <f t="shared" si="5"/>
        <v>48.275862068965516</v>
      </c>
      <c r="G22" s="681">
        <f>SUM(G9:G21)</f>
        <v>58</v>
      </c>
      <c r="H22" s="910">
        <f t="shared" si="5"/>
        <v>100</v>
      </c>
      <c r="I22" s="427">
        <f>SUM(I9:I21)</f>
        <v>33238</v>
      </c>
      <c r="J22" s="427"/>
      <c r="K22" s="426">
        <f>SUM(K9:K21)</f>
        <v>44.695156388672238</v>
      </c>
      <c r="L22" s="427">
        <f>SUM(L9:L21)</f>
        <v>41128</v>
      </c>
      <c r="M22" s="426">
        <f t="shared" si="5"/>
        <v>55.304843611327762</v>
      </c>
      <c r="N22" s="681">
        <f>SUM(N9:N21)</f>
        <v>74366</v>
      </c>
      <c r="O22" s="910">
        <f>SUM(O9:O21)</f>
        <v>100</v>
      </c>
      <c r="P22" s="427">
        <f>SUM(P9:P21)</f>
        <v>2172142</v>
      </c>
      <c r="Q22" s="427"/>
      <c r="R22" s="426">
        <f>SUM(R9:R21)</f>
        <v>27.913341679373772</v>
      </c>
      <c r="S22" s="427">
        <f>SUM(S9:S21)</f>
        <v>5609592</v>
      </c>
      <c r="T22" s="427"/>
      <c r="U22" s="912">
        <f>SUM(U9:U21)</f>
        <v>72.086658320626228</v>
      </c>
      <c r="V22" s="681">
        <f>SUM(V9:V21)</f>
        <v>7781734</v>
      </c>
      <c r="W22" s="911">
        <f>SUM(W9:W21)</f>
        <v>100</v>
      </c>
    </row>
    <row r="23" spans="1:38" s="1" customFormat="1" ht="29.25" customHeight="1" x14ac:dyDescent="0.2">
      <c r="B23" s="5" t="s">
        <v>217</v>
      </c>
      <c r="C23" s="6"/>
      <c r="D23" s="6"/>
      <c r="E23" s="6"/>
      <c r="F23" s="6"/>
      <c r="G23" s="7"/>
      <c r="H23" s="6"/>
      <c r="I23" s="6"/>
      <c r="Y23" s="8"/>
      <c r="Z23" s="4"/>
      <c r="AA23" s="8"/>
      <c r="AB23" s="9"/>
      <c r="AC23" s="8"/>
      <c r="AD23" s="9"/>
    </row>
    <row r="24" spans="1:38" s="1" customFormat="1" ht="29.25" customHeight="1" x14ac:dyDescent="0.2">
      <c r="B24" s="10" t="s">
        <v>257</v>
      </c>
      <c r="C24" s="11"/>
      <c r="D24" s="11"/>
      <c r="E24" s="11"/>
      <c r="F24" s="11"/>
      <c r="G24" s="11"/>
      <c r="H24" s="12"/>
      <c r="I24" s="12"/>
      <c r="J24" s="12"/>
      <c r="K24" s="12"/>
      <c r="Z24" s="13"/>
      <c r="AA24" s="14"/>
      <c r="AB24" s="13"/>
      <c r="AC24" s="14"/>
      <c r="AD24" s="15"/>
    </row>
    <row r="25" spans="1:38" s="1" customFormat="1" ht="16.899999999999999" customHeight="1" x14ac:dyDescent="0.2">
      <c r="B25" s="16" t="s">
        <v>245</v>
      </c>
      <c r="D25" s="17"/>
      <c r="E25" s="18"/>
      <c r="F25" s="17"/>
      <c r="G25" s="19"/>
      <c r="H25" s="20"/>
      <c r="I25" s="21"/>
      <c r="J25" s="21"/>
    </row>
    <row r="26" spans="1:38" s="1" customFormat="1" ht="25.9" customHeight="1" x14ac:dyDescent="0.2">
      <c r="A26" s="20"/>
      <c r="B26" s="727" t="s">
        <v>206</v>
      </c>
      <c r="C26" s="727"/>
      <c r="D26" s="727"/>
      <c r="E26" s="727"/>
      <c r="F26" s="727"/>
      <c r="G26" s="727"/>
      <c r="H26" s="727"/>
      <c r="I26" s="727"/>
      <c r="J26" s="727"/>
      <c r="K26" s="727"/>
      <c r="L26" s="727"/>
      <c r="M26" s="727"/>
      <c r="N26" s="727"/>
      <c r="O26" s="727"/>
      <c r="P26" s="727"/>
      <c r="T26" s="133"/>
      <c r="U26" s="133"/>
      <c r="V26" s="133"/>
      <c r="W26" s="133"/>
      <c r="X26" s="133"/>
      <c r="Y26" s="133"/>
      <c r="Z26" s="133"/>
      <c r="AA26" s="133"/>
      <c r="AB26" s="133"/>
      <c r="AC26" s="133"/>
      <c r="AD26" s="133"/>
      <c r="AE26" s="133"/>
      <c r="AF26" s="133"/>
      <c r="AG26" s="133"/>
      <c r="AH26" s="133"/>
      <c r="AI26" s="133"/>
      <c r="AJ26" s="133"/>
      <c r="AK26" s="133"/>
      <c r="AL26" s="134"/>
    </row>
    <row r="27" spans="1:38" s="1" customFormat="1" ht="18" x14ac:dyDescent="0.2">
      <c r="B27" s="2" t="s">
        <v>327</v>
      </c>
      <c r="H27" s="3"/>
    </row>
    <row r="36" spans="2:2" x14ac:dyDescent="0.2">
      <c r="B36" s="136"/>
    </row>
  </sheetData>
  <mergeCells count="18">
    <mergeCell ref="B26:P26"/>
    <mergeCell ref="G6:H6"/>
    <mergeCell ref="I6:K6"/>
    <mergeCell ref="L6:M6"/>
    <mergeCell ref="N6:O6"/>
    <mergeCell ref="P6:R6"/>
    <mergeCell ref="B1:W1"/>
    <mergeCell ref="B2:W2"/>
    <mergeCell ref="B3:W3"/>
    <mergeCell ref="B4:W4"/>
    <mergeCell ref="B5:B7"/>
    <mergeCell ref="C5:H5"/>
    <mergeCell ref="I5:O5"/>
    <mergeCell ref="P5:W5"/>
    <mergeCell ref="C6:D6"/>
    <mergeCell ref="S6:U6"/>
    <mergeCell ref="V6:W6"/>
    <mergeCell ref="E6:F6"/>
  </mergeCells>
  <phoneticPr fontId="2" type="noConversion"/>
  <printOptions horizontalCentered="1" verticalCentered="1"/>
  <pageMargins left="0.39370078740157483" right="0.39370078740157483" top="0.27559055118110237" bottom="0.39370078740157483" header="0.35433070866141736" footer="0.35433070866141736"/>
  <pageSetup paperSize="9" scale="42"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B1:AA25"/>
  <sheetViews>
    <sheetView showGridLines="0" zoomScale="70" zoomScaleNormal="70" workbookViewId="0">
      <selection activeCell="J14" sqref="J14"/>
    </sheetView>
  </sheetViews>
  <sheetFormatPr baseColWidth="10" defaultColWidth="11.42578125" defaultRowHeight="12.75" x14ac:dyDescent="0.2"/>
  <cols>
    <col min="1" max="1" width="5.5703125" style="38" customWidth="1"/>
    <col min="2" max="2" width="15.42578125" style="38" customWidth="1"/>
    <col min="3" max="3" width="13.28515625" style="38" customWidth="1"/>
    <col min="4" max="4" width="9.7109375" style="38" customWidth="1"/>
    <col min="5" max="5" width="12.28515625" style="38" customWidth="1"/>
    <col min="6" max="6" width="10" style="38" customWidth="1"/>
    <col min="7" max="7" width="12" style="38" customWidth="1"/>
    <col min="8" max="8" width="10.7109375" style="38" customWidth="1"/>
    <col min="9" max="9" width="11.7109375" style="38" customWidth="1"/>
    <col min="10" max="10" width="10.42578125" style="38" customWidth="1"/>
    <col min="11" max="11" width="11" style="38" customWidth="1"/>
    <col min="12" max="12" width="11.28515625" style="38" customWidth="1"/>
    <col min="13" max="13" width="17.28515625" style="38" customWidth="1"/>
    <col min="14" max="14" width="11.5703125" style="38" customWidth="1"/>
    <col min="15" max="15" width="12.7109375" style="38" customWidth="1"/>
    <col min="16" max="16" width="10" style="38" customWidth="1"/>
    <col min="17" max="17" width="16.5703125" style="38" customWidth="1"/>
    <col min="18" max="18" width="3.28515625" style="38" customWidth="1"/>
    <col min="19" max="19" width="10.5703125" style="38" customWidth="1"/>
    <col min="20" max="20" width="21" style="38" customWidth="1"/>
    <col min="21" max="21" width="12.28515625" style="38" customWidth="1"/>
    <col min="22" max="22" width="5.42578125" style="38" customWidth="1"/>
    <col min="23" max="16384" width="11.42578125" style="38"/>
  </cols>
  <sheetData>
    <row r="1" spans="2:21" s="1" customFormat="1" ht="30" customHeight="1" x14ac:dyDescent="0.2">
      <c r="B1" s="698" t="s">
        <v>87</v>
      </c>
      <c r="C1" s="698"/>
      <c r="D1" s="698"/>
      <c r="E1" s="698"/>
      <c r="F1" s="698"/>
      <c r="G1" s="698"/>
      <c r="H1" s="698"/>
      <c r="I1" s="698"/>
      <c r="J1" s="698"/>
      <c r="K1" s="698"/>
      <c r="L1" s="698"/>
      <c r="M1" s="698"/>
      <c r="N1" s="698"/>
      <c r="O1" s="698"/>
      <c r="P1" s="698"/>
      <c r="Q1" s="698"/>
      <c r="R1" s="698"/>
      <c r="S1" s="698"/>
      <c r="T1" s="698"/>
      <c r="U1" s="698"/>
    </row>
    <row r="2" spans="2:21" s="3" customFormat="1" ht="30" customHeight="1" x14ac:dyDescent="0.2">
      <c r="B2" s="31" t="s">
        <v>145</v>
      </c>
      <c r="C2" s="31"/>
      <c r="D2" s="31"/>
      <c r="E2" s="31"/>
      <c r="F2" s="31"/>
      <c r="G2" s="31"/>
      <c r="H2" s="31"/>
      <c r="I2" s="31"/>
      <c r="J2" s="31"/>
      <c r="K2" s="31"/>
      <c r="L2" s="31"/>
      <c r="M2" s="31"/>
      <c r="N2" s="31"/>
      <c r="O2" s="31"/>
      <c r="P2" s="31"/>
      <c r="Q2" s="31"/>
      <c r="R2" s="31"/>
      <c r="S2" s="31"/>
      <c r="T2" s="31"/>
    </row>
    <row r="3" spans="2:21" s="3" customFormat="1" ht="18" customHeight="1" x14ac:dyDescent="0.2">
      <c r="B3" s="704" t="s">
        <v>181</v>
      </c>
      <c r="C3" s="704"/>
      <c r="D3" s="704"/>
      <c r="E3" s="704"/>
      <c r="F3" s="704"/>
      <c r="G3" s="704"/>
      <c r="H3" s="704"/>
      <c r="I3" s="704"/>
      <c r="J3" s="704"/>
      <c r="K3" s="704"/>
      <c r="L3" s="704"/>
      <c r="M3" s="704"/>
      <c r="N3" s="704"/>
      <c r="O3" s="704"/>
      <c r="P3" s="704"/>
      <c r="Q3" s="704"/>
      <c r="R3" s="704"/>
      <c r="S3" s="704"/>
      <c r="T3" s="704"/>
      <c r="U3" s="704"/>
    </row>
    <row r="4" spans="2:21" s="3" customFormat="1" ht="35.25" customHeight="1" x14ac:dyDescent="0.2">
      <c r="B4" s="698">
        <v>2025</v>
      </c>
      <c r="C4" s="698"/>
      <c r="D4" s="698"/>
      <c r="E4" s="698"/>
      <c r="F4" s="698"/>
      <c r="G4" s="698"/>
      <c r="H4" s="698"/>
      <c r="I4" s="698"/>
      <c r="J4" s="698"/>
      <c r="K4" s="698"/>
      <c r="L4" s="698"/>
      <c r="M4" s="698"/>
      <c r="N4" s="698"/>
      <c r="O4" s="698"/>
      <c r="P4" s="698"/>
      <c r="Q4" s="698"/>
      <c r="R4" s="698"/>
      <c r="S4" s="698"/>
      <c r="T4" s="698"/>
      <c r="U4" s="698"/>
    </row>
    <row r="5" spans="2:21" ht="30" customHeight="1" x14ac:dyDescent="0.2">
      <c r="B5" s="791" t="s">
        <v>24</v>
      </c>
      <c r="C5" s="788" t="s">
        <v>2</v>
      </c>
      <c r="D5" s="788"/>
      <c r="E5" s="789"/>
      <c r="F5" s="789"/>
      <c r="G5" s="789"/>
      <c r="H5" s="789"/>
      <c r="I5" s="310" t="s">
        <v>11</v>
      </c>
      <c r="J5" s="310"/>
      <c r="K5" s="310"/>
      <c r="L5" s="310"/>
      <c r="M5" s="310"/>
      <c r="N5" s="310"/>
      <c r="O5" s="789" t="s">
        <v>96</v>
      </c>
      <c r="P5" s="789"/>
      <c r="Q5" s="789"/>
      <c r="R5" s="789"/>
      <c r="S5" s="789"/>
      <c r="T5" s="789"/>
      <c r="U5" s="790"/>
    </row>
    <row r="6" spans="2:21" ht="25.15" customHeight="1" x14ac:dyDescent="0.2">
      <c r="B6" s="791"/>
      <c r="C6" s="792" t="s">
        <v>14</v>
      </c>
      <c r="D6" s="793"/>
      <c r="E6" s="792" t="s">
        <v>13</v>
      </c>
      <c r="F6" s="793"/>
      <c r="G6" s="795" t="s">
        <v>6</v>
      </c>
      <c r="H6" s="795"/>
      <c r="I6" s="794" t="s">
        <v>14</v>
      </c>
      <c r="J6" s="794"/>
      <c r="K6" s="794" t="s">
        <v>13</v>
      </c>
      <c r="L6" s="794"/>
      <c r="M6" s="795" t="s">
        <v>6</v>
      </c>
      <c r="N6" s="795"/>
      <c r="O6" s="794" t="s">
        <v>14</v>
      </c>
      <c r="P6" s="794"/>
      <c r="Q6" s="794" t="s">
        <v>13</v>
      </c>
      <c r="R6" s="794"/>
      <c r="S6" s="794"/>
      <c r="T6" s="795" t="s">
        <v>6</v>
      </c>
      <c r="U6" s="796"/>
    </row>
    <row r="7" spans="2:21" ht="25.15" customHeight="1" x14ac:dyDescent="0.2">
      <c r="B7" s="791"/>
      <c r="C7" s="302" t="s">
        <v>63</v>
      </c>
      <c r="D7" s="301" t="s">
        <v>5</v>
      </c>
      <c r="E7" s="302" t="s">
        <v>63</v>
      </c>
      <c r="F7" s="301" t="s">
        <v>5</v>
      </c>
      <c r="G7" s="302" t="s">
        <v>63</v>
      </c>
      <c r="H7" s="284" t="s">
        <v>5</v>
      </c>
      <c r="I7" s="311" t="s">
        <v>63</v>
      </c>
      <c r="J7" s="312" t="s">
        <v>5</v>
      </c>
      <c r="K7" s="311" t="s">
        <v>63</v>
      </c>
      <c r="L7" s="312" t="s">
        <v>5</v>
      </c>
      <c r="M7" s="283" t="s">
        <v>63</v>
      </c>
      <c r="N7" s="284" t="s">
        <v>5</v>
      </c>
      <c r="O7" s="311" t="s">
        <v>63</v>
      </c>
      <c r="P7" s="312" t="s">
        <v>5</v>
      </c>
      <c r="Q7" s="797" t="s">
        <v>63</v>
      </c>
      <c r="R7" s="797"/>
      <c r="S7" s="284" t="s">
        <v>5</v>
      </c>
      <c r="T7" s="311" t="s">
        <v>63</v>
      </c>
      <c r="U7" s="312" t="s">
        <v>5</v>
      </c>
    </row>
    <row r="8" spans="2:21" s="41" customFormat="1" ht="15.75" customHeight="1" x14ac:dyDescent="0.2">
      <c r="B8" s="428"/>
      <c r="C8" s="303"/>
      <c r="D8" s="286"/>
      <c r="E8" s="303"/>
      <c r="F8" s="286"/>
      <c r="G8" s="303"/>
      <c r="H8" s="286"/>
      <c r="I8" s="303"/>
      <c r="J8" s="286"/>
      <c r="K8" s="303"/>
      <c r="L8" s="286"/>
      <c r="M8" s="303"/>
      <c r="N8" s="286"/>
      <c r="O8" s="303"/>
      <c r="P8" s="286"/>
      <c r="Q8" s="303"/>
      <c r="R8" s="303"/>
      <c r="S8" s="286"/>
      <c r="T8" s="303"/>
      <c r="U8" s="286"/>
    </row>
    <row r="9" spans="2:21" s="21" customFormat="1" ht="30" customHeight="1" x14ac:dyDescent="0.2">
      <c r="B9" s="388" t="s">
        <v>39</v>
      </c>
      <c r="C9" s="267">
        <v>1</v>
      </c>
      <c r="D9" s="304">
        <f>C9/G21*100</f>
        <v>1.7241379310344827</v>
      </c>
      <c r="E9" s="267">
        <v>1</v>
      </c>
      <c r="F9" s="304">
        <f>E9/G21*100</f>
        <v>1.7241379310344827</v>
      </c>
      <c r="G9" s="299">
        <f>SUM(E9+C9)</f>
        <v>2</v>
      </c>
      <c r="H9" s="536">
        <f t="shared" ref="H9:H16" si="0">SUM(D9+F9)</f>
        <v>3.4482758620689653</v>
      </c>
      <c r="I9" s="537">
        <v>20</v>
      </c>
      <c r="J9" s="304">
        <f>I9/M$21*100</f>
        <v>2.6894010703816258E-2</v>
      </c>
      <c r="K9" s="537">
        <v>40</v>
      </c>
      <c r="L9" s="305">
        <f>K9/M$21*100</f>
        <v>5.3788021407632516E-2</v>
      </c>
      <c r="M9" s="299">
        <f t="shared" ref="M9:N13" si="1">SUM(I9+K9)</f>
        <v>60</v>
      </c>
      <c r="N9" s="306">
        <f>SUM(J9+L9)</f>
        <v>8.0682032111448782E-2</v>
      </c>
      <c r="O9" s="534">
        <v>320</v>
      </c>
      <c r="P9" s="305">
        <f t="shared" ref="P9:P20" si="2">O9/T$21*100</f>
        <v>4.1121940174259361E-3</v>
      </c>
      <c r="Q9" s="534">
        <v>75712</v>
      </c>
      <c r="R9" s="538"/>
      <c r="S9" s="305">
        <f t="shared" ref="S9:S20" si="3">Q9/T$21*100</f>
        <v>0.97294510452297644</v>
      </c>
      <c r="T9" s="299">
        <f>SUM(O9+Q9)</f>
        <v>76032</v>
      </c>
      <c r="U9" s="306">
        <f>SUM(P9+S9)</f>
        <v>0.97705729854040235</v>
      </c>
    </row>
    <row r="10" spans="2:21" s="21" customFormat="1" ht="30" customHeight="1" x14ac:dyDescent="0.2">
      <c r="B10" s="388" t="s">
        <v>40</v>
      </c>
      <c r="C10" s="267">
        <v>1</v>
      </c>
      <c r="D10" s="304">
        <f>C10/G21*100</f>
        <v>1.7241379310344827</v>
      </c>
      <c r="E10" s="267">
        <v>2</v>
      </c>
      <c r="F10" s="304">
        <f>E10/G21*100</f>
        <v>3.4482758620689653</v>
      </c>
      <c r="G10" s="299">
        <f>SUM(C10+E10)</f>
        <v>3</v>
      </c>
      <c r="H10" s="536">
        <f t="shared" si="0"/>
        <v>5.1724137931034484</v>
      </c>
      <c r="I10" s="537">
        <v>15</v>
      </c>
      <c r="J10" s="304">
        <f>I10/M$21*100</f>
        <v>2.0170508027862195E-2</v>
      </c>
      <c r="K10" s="537">
        <v>115</v>
      </c>
      <c r="L10" s="305">
        <f t="shared" ref="L10:L20" si="4">K10/M$21*100</f>
        <v>0.1546405615469435</v>
      </c>
      <c r="M10" s="299">
        <f t="shared" si="1"/>
        <v>130</v>
      </c>
      <c r="N10" s="306">
        <f>SUM(J10+L10)</f>
        <v>0.17481106957480569</v>
      </c>
      <c r="O10" s="539">
        <v>360</v>
      </c>
      <c r="P10" s="305">
        <f t="shared" si="2"/>
        <v>4.626218269604178E-3</v>
      </c>
      <c r="Q10" s="539">
        <v>18104</v>
      </c>
      <c r="R10" s="538"/>
      <c r="S10" s="305">
        <f t="shared" si="3"/>
        <v>0.23264737653587234</v>
      </c>
      <c r="T10" s="299">
        <f>SUM(O10+Q10)</f>
        <v>18464</v>
      </c>
      <c r="U10" s="306">
        <f t="shared" ref="U10:U20" si="5">SUM(P10+S10)</f>
        <v>0.23727359480547652</v>
      </c>
    </row>
    <row r="11" spans="2:21" s="21" customFormat="1" ht="30" customHeight="1" x14ac:dyDescent="0.2">
      <c r="B11" s="388" t="s">
        <v>78</v>
      </c>
      <c r="C11" s="267">
        <v>1</v>
      </c>
      <c r="D11" s="304">
        <f>C11/G21*100</f>
        <v>1.7241379310344827</v>
      </c>
      <c r="E11" s="267">
        <v>2</v>
      </c>
      <c r="F11" s="304">
        <f>E11/G21*100</f>
        <v>3.4482758620689653</v>
      </c>
      <c r="G11" s="299">
        <f>SUM(C11+E11)</f>
        <v>3</v>
      </c>
      <c r="H11" s="536">
        <f t="shared" si="0"/>
        <v>5.1724137931034484</v>
      </c>
      <c r="I11" s="537">
        <v>535</v>
      </c>
      <c r="J11" s="304">
        <f t="shared" ref="J11:J12" si="6">I11/M$21*100</f>
        <v>0.719414786327085</v>
      </c>
      <c r="K11" s="537">
        <v>430</v>
      </c>
      <c r="L11" s="305">
        <f t="shared" si="4"/>
        <v>0.57822123013204951</v>
      </c>
      <c r="M11" s="299">
        <f t="shared" si="1"/>
        <v>965</v>
      </c>
      <c r="N11" s="306">
        <f t="shared" si="1"/>
        <v>1.2976360164591345</v>
      </c>
      <c r="O11" s="539">
        <v>4280</v>
      </c>
      <c r="P11" s="305">
        <f t="shared" si="2"/>
        <v>5.5000594983071895E-2</v>
      </c>
      <c r="Q11" s="539">
        <v>29888</v>
      </c>
      <c r="R11" s="538"/>
      <c r="S11" s="305">
        <f t="shared" si="3"/>
        <v>0.38407892122758241</v>
      </c>
      <c r="T11" s="299">
        <f>SUM(O11+Q11)</f>
        <v>34168</v>
      </c>
      <c r="U11" s="306">
        <f t="shared" si="5"/>
        <v>0.43907951621065433</v>
      </c>
    </row>
    <row r="12" spans="2:21" s="21" customFormat="1" ht="30" customHeight="1" x14ac:dyDescent="0.2">
      <c r="B12" s="388" t="s">
        <v>42</v>
      </c>
      <c r="C12" s="267">
        <v>3</v>
      </c>
      <c r="D12" s="304">
        <f>C12/G21*100</f>
        <v>5.1724137931034484</v>
      </c>
      <c r="E12" s="267">
        <v>2</v>
      </c>
      <c r="F12" s="304">
        <f>E12/G21*100</f>
        <v>3.4482758620689653</v>
      </c>
      <c r="G12" s="299">
        <f>SUM(C12+E12)</f>
        <v>5</v>
      </c>
      <c r="H12" s="536">
        <f t="shared" si="0"/>
        <v>8.6206896551724128</v>
      </c>
      <c r="I12" s="537">
        <v>403</v>
      </c>
      <c r="J12" s="304">
        <f t="shared" si="6"/>
        <v>0.54191431568189763</v>
      </c>
      <c r="K12" s="537">
        <v>151</v>
      </c>
      <c r="L12" s="305">
        <f t="shared" si="4"/>
        <v>0.20304978081381275</v>
      </c>
      <c r="M12" s="299">
        <f t="shared" si="1"/>
        <v>554</v>
      </c>
      <c r="N12" s="306">
        <f t="shared" si="1"/>
        <v>0.74496409649571038</v>
      </c>
      <c r="O12" s="539">
        <v>5272</v>
      </c>
      <c r="P12" s="305">
        <f t="shared" si="2"/>
        <v>6.7748396437092295E-2</v>
      </c>
      <c r="Q12" s="539">
        <v>24696</v>
      </c>
      <c r="R12" s="538"/>
      <c r="S12" s="305">
        <f t="shared" si="3"/>
        <v>0.31735857329484662</v>
      </c>
      <c r="T12" s="299">
        <f t="shared" ref="T12" si="7">SUM(O12+Q12)</f>
        <v>29968</v>
      </c>
      <c r="U12" s="306">
        <f t="shared" si="5"/>
        <v>0.38510696973193892</v>
      </c>
    </row>
    <row r="13" spans="2:21" s="21" customFormat="1" ht="30" customHeight="1" x14ac:dyDescent="0.2">
      <c r="B13" s="388" t="s">
        <v>79</v>
      </c>
      <c r="C13" s="267">
        <v>2</v>
      </c>
      <c r="D13" s="308">
        <f>C13/G21*100</f>
        <v>3.4482758620689653</v>
      </c>
      <c r="E13" s="267">
        <v>2</v>
      </c>
      <c r="F13" s="304">
        <f>E13/G21*100</f>
        <v>3.4482758620689653</v>
      </c>
      <c r="G13" s="299">
        <f>SUM(E13+C13)</f>
        <v>4</v>
      </c>
      <c r="H13" s="540">
        <f t="shared" si="0"/>
        <v>6.8965517241379306</v>
      </c>
      <c r="I13" s="537">
        <v>130</v>
      </c>
      <c r="J13" s="304">
        <f t="shared" ref="J13:J20" si="8">I13/M$21*100</f>
        <v>0.17481106957480569</v>
      </c>
      <c r="K13" s="537">
        <v>269</v>
      </c>
      <c r="L13" s="305">
        <f t="shared" si="4"/>
        <v>0.36172444396632869</v>
      </c>
      <c r="M13" s="299">
        <f>SUM(I13+K13)</f>
        <v>399</v>
      </c>
      <c r="N13" s="306">
        <f t="shared" si="1"/>
        <v>0.53653551354113438</v>
      </c>
      <c r="O13" s="539">
        <v>1280</v>
      </c>
      <c r="P13" s="305">
        <f t="shared" si="2"/>
        <v>1.6448776069703745E-2</v>
      </c>
      <c r="Q13" s="539">
        <v>37640</v>
      </c>
      <c r="R13" s="538"/>
      <c r="S13" s="305">
        <f t="shared" si="3"/>
        <v>0.48369682129972574</v>
      </c>
      <c r="T13" s="299">
        <f>SUM(O13+Q13)</f>
        <v>38920</v>
      </c>
      <c r="U13" s="309">
        <f t="shared" si="5"/>
        <v>0.50014559736942954</v>
      </c>
    </row>
    <row r="14" spans="2:21" s="21" customFormat="1" ht="30" customHeight="1" x14ac:dyDescent="0.2">
      <c r="B14" s="388" t="s">
        <v>43</v>
      </c>
      <c r="C14" s="267">
        <v>4</v>
      </c>
      <c r="D14" s="308">
        <f>C14/G21*100</f>
        <v>6.8965517241379306</v>
      </c>
      <c r="E14" s="267">
        <v>5</v>
      </c>
      <c r="F14" s="304">
        <f>E14/G21*100</f>
        <v>8.6206896551724146</v>
      </c>
      <c r="G14" s="299">
        <f t="shared" ref="G14:G20" si="9">SUM(C14+E14)</f>
        <v>9</v>
      </c>
      <c r="H14" s="540">
        <f t="shared" si="0"/>
        <v>15.517241379310345</v>
      </c>
      <c r="I14" s="537">
        <v>508</v>
      </c>
      <c r="J14" s="304">
        <f t="shared" si="8"/>
        <v>0.683107871876933</v>
      </c>
      <c r="K14" s="537">
        <v>674</v>
      </c>
      <c r="L14" s="305">
        <f t="shared" si="4"/>
        <v>0.906328160718608</v>
      </c>
      <c r="M14" s="299">
        <f>SUM(I14+K14)</f>
        <v>1182</v>
      </c>
      <c r="N14" s="309">
        <f>SUM(J14+L14)</f>
        <v>1.589436032595541</v>
      </c>
      <c r="O14" s="539">
        <v>4352</v>
      </c>
      <c r="P14" s="305">
        <f t="shared" si="2"/>
        <v>5.5925838636992735E-2</v>
      </c>
      <c r="Q14" s="539">
        <v>29384</v>
      </c>
      <c r="R14" s="534"/>
      <c r="S14" s="305">
        <f t="shared" si="3"/>
        <v>0.37760221565013663</v>
      </c>
      <c r="T14" s="299">
        <f>SUM(O14+Q14)</f>
        <v>33736</v>
      </c>
      <c r="U14" s="309">
        <f t="shared" si="5"/>
        <v>0.43352805428712937</v>
      </c>
    </row>
    <row r="15" spans="2:21" s="21" customFormat="1" ht="30" customHeight="1" x14ac:dyDescent="0.2">
      <c r="B15" s="388" t="s">
        <v>56</v>
      </c>
      <c r="C15" s="267">
        <v>3</v>
      </c>
      <c r="D15" s="304">
        <f>C15/G21*100</f>
        <v>5.1724137931034484</v>
      </c>
      <c r="E15" s="267">
        <v>1</v>
      </c>
      <c r="F15" s="304">
        <f>E15/G21*100</f>
        <v>1.7241379310344827</v>
      </c>
      <c r="G15" s="299">
        <f t="shared" si="9"/>
        <v>4</v>
      </c>
      <c r="H15" s="536">
        <f t="shared" si="0"/>
        <v>6.8965517241379306</v>
      </c>
      <c r="I15" s="537">
        <v>427</v>
      </c>
      <c r="J15" s="304">
        <f t="shared" si="8"/>
        <v>0.57418712852647713</v>
      </c>
      <c r="K15" s="537">
        <v>3634</v>
      </c>
      <c r="L15" s="305">
        <f t="shared" si="4"/>
        <v>4.8866417448834145</v>
      </c>
      <c r="M15" s="299">
        <f>SUM(I15+K15)</f>
        <v>4061</v>
      </c>
      <c r="N15" s="306">
        <f t="shared" ref="N15:N20" si="10">SUM(J15+L15)</f>
        <v>5.4608288734098913</v>
      </c>
      <c r="O15" s="539">
        <v>6332</v>
      </c>
      <c r="P15" s="305">
        <f t="shared" si="2"/>
        <v>8.1370039119815704E-2</v>
      </c>
      <c r="Q15" s="539">
        <v>94576</v>
      </c>
      <c r="R15" s="538"/>
      <c r="S15" s="305">
        <f t="shared" si="3"/>
        <v>1.2153589418502353</v>
      </c>
      <c r="T15" s="299">
        <f>SUM(O15+Q15)</f>
        <v>100908</v>
      </c>
      <c r="U15" s="306">
        <f t="shared" si="5"/>
        <v>1.2967289809700511</v>
      </c>
    </row>
    <row r="16" spans="2:21" s="21" customFormat="1" ht="30" customHeight="1" x14ac:dyDescent="0.2">
      <c r="B16" s="388" t="s">
        <v>55</v>
      </c>
      <c r="C16" s="267">
        <v>1</v>
      </c>
      <c r="D16" s="304">
        <f>C16/G21*100</f>
        <v>1.7241379310344827</v>
      </c>
      <c r="E16" s="267">
        <v>4</v>
      </c>
      <c r="F16" s="304">
        <f>E16/G21*100</f>
        <v>6.8965517241379306</v>
      </c>
      <c r="G16" s="299">
        <f t="shared" si="9"/>
        <v>5</v>
      </c>
      <c r="H16" s="536">
        <f t="shared" si="0"/>
        <v>8.6206896551724128</v>
      </c>
      <c r="I16" s="537">
        <v>39</v>
      </c>
      <c r="J16" s="304">
        <f t="shared" si="8"/>
        <v>5.2443320872441704E-2</v>
      </c>
      <c r="K16" s="537">
        <v>2219</v>
      </c>
      <c r="L16" s="305">
        <f t="shared" si="4"/>
        <v>2.9838904875884138</v>
      </c>
      <c r="M16" s="299">
        <f>SUM(+I16+K16)</f>
        <v>2258</v>
      </c>
      <c r="N16" s="306">
        <f>SUM(J16+L16)</f>
        <v>3.0363338084608555</v>
      </c>
      <c r="O16" s="539">
        <v>624</v>
      </c>
      <c r="P16" s="305">
        <f t="shared" si="2"/>
        <v>8.0187783339805748E-3</v>
      </c>
      <c r="Q16" s="539">
        <v>196712</v>
      </c>
      <c r="R16" s="534"/>
      <c r="S16" s="305">
        <f t="shared" si="3"/>
        <v>2.5278684673621585</v>
      </c>
      <c r="T16" s="299">
        <f>SUM(+O16+Q16)</f>
        <v>197336</v>
      </c>
      <c r="U16" s="306">
        <f t="shared" si="5"/>
        <v>2.5358872456961392</v>
      </c>
    </row>
    <row r="17" spans="2:27" s="21" customFormat="1" ht="30" customHeight="1" x14ac:dyDescent="0.2">
      <c r="B17" s="388" t="s">
        <v>54</v>
      </c>
      <c r="C17" s="267">
        <v>2</v>
      </c>
      <c r="D17" s="304">
        <f>C17/G21*100</f>
        <v>3.4482758620689653</v>
      </c>
      <c r="E17" s="267">
        <v>9</v>
      </c>
      <c r="F17" s="304">
        <f>E17/G21*100</f>
        <v>15.517241379310345</v>
      </c>
      <c r="G17" s="299">
        <f t="shared" si="9"/>
        <v>11</v>
      </c>
      <c r="H17" s="536">
        <f>SUM(D17+F17)</f>
        <v>18.96551724137931</v>
      </c>
      <c r="I17" s="537">
        <v>950</v>
      </c>
      <c r="J17" s="304">
        <f t="shared" si="8"/>
        <v>1.2774655084312723</v>
      </c>
      <c r="K17" s="537">
        <v>17318</v>
      </c>
      <c r="L17" s="305">
        <f t="shared" si="4"/>
        <v>23.287523868434501</v>
      </c>
      <c r="M17" s="299">
        <f>SUM(I17+K17)</f>
        <v>18268</v>
      </c>
      <c r="N17" s="306">
        <f t="shared" si="10"/>
        <v>24.564989376865775</v>
      </c>
      <c r="O17" s="539">
        <v>15600</v>
      </c>
      <c r="P17" s="305">
        <f t="shared" si="2"/>
        <v>0.20046945834951438</v>
      </c>
      <c r="Q17" s="539">
        <v>1367794</v>
      </c>
      <c r="R17" s="538"/>
      <c r="S17" s="305">
        <f t="shared" si="3"/>
        <v>17.576982199597161</v>
      </c>
      <c r="T17" s="299">
        <f>SUM(O17+Q17)</f>
        <v>1383394</v>
      </c>
      <c r="U17" s="306">
        <f t="shared" si="5"/>
        <v>17.777451657946674</v>
      </c>
    </row>
    <row r="18" spans="2:27" s="21" customFormat="1" ht="30" customHeight="1" x14ac:dyDescent="0.2">
      <c r="B18" s="388" t="s">
        <v>53</v>
      </c>
      <c r="C18" s="267">
        <v>4</v>
      </c>
      <c r="D18" s="308">
        <f>C18/G21*100</f>
        <v>6.8965517241379306</v>
      </c>
      <c r="E18" s="267">
        <v>0</v>
      </c>
      <c r="F18" s="304">
        <f>E18/G21*100</f>
        <v>0</v>
      </c>
      <c r="G18" s="299">
        <f t="shared" si="9"/>
        <v>4</v>
      </c>
      <c r="H18" s="536">
        <f>SUM(D18+F18)</f>
        <v>6.8965517241379306</v>
      </c>
      <c r="I18" s="537">
        <v>8677</v>
      </c>
      <c r="J18" s="304">
        <f t="shared" si="8"/>
        <v>11.667966543850685</v>
      </c>
      <c r="K18" s="537">
        <v>0</v>
      </c>
      <c r="L18" s="305">
        <f t="shared" si="4"/>
        <v>0</v>
      </c>
      <c r="M18" s="299">
        <f t="shared" ref="M18:M20" si="11">SUM(I18+K18)</f>
        <v>8677</v>
      </c>
      <c r="N18" s="306">
        <f t="shared" si="10"/>
        <v>11.667966543850685</v>
      </c>
      <c r="O18" s="539">
        <v>138376</v>
      </c>
      <c r="P18" s="305">
        <f t="shared" si="2"/>
        <v>1.7782154979854106</v>
      </c>
      <c r="Q18" s="539">
        <v>0</v>
      </c>
      <c r="R18" s="541"/>
      <c r="S18" s="305">
        <f t="shared" si="3"/>
        <v>0</v>
      </c>
      <c r="T18" s="299">
        <f>SUM(O18+Q18)</f>
        <v>138376</v>
      </c>
      <c r="U18" s="306">
        <f t="shared" si="5"/>
        <v>1.7782154979854106</v>
      </c>
    </row>
    <row r="19" spans="2:27" s="21" customFormat="1" ht="30" customHeight="1" x14ac:dyDescent="0.2">
      <c r="B19" s="388" t="s">
        <v>52</v>
      </c>
      <c r="C19" s="267">
        <v>3</v>
      </c>
      <c r="D19" s="542">
        <f>C19/G21*100</f>
        <v>5.1724137931034484</v>
      </c>
      <c r="E19" s="267">
        <v>4</v>
      </c>
      <c r="F19" s="304">
        <f>E19/G21*100</f>
        <v>6.8965517241379306</v>
      </c>
      <c r="G19" s="299">
        <f t="shared" si="9"/>
        <v>7</v>
      </c>
      <c r="H19" s="536">
        <f>SUM(+D19+F19)</f>
        <v>12.068965517241379</v>
      </c>
      <c r="I19" s="537">
        <v>3827</v>
      </c>
      <c r="J19" s="304">
        <f t="shared" si="8"/>
        <v>5.1461689481752417</v>
      </c>
      <c r="K19" s="537">
        <v>33095</v>
      </c>
      <c r="L19" s="305">
        <f t="shared" si="4"/>
        <v>44.502864212139961</v>
      </c>
      <c r="M19" s="299">
        <f t="shared" si="11"/>
        <v>36922</v>
      </c>
      <c r="N19" s="306">
        <f t="shared" si="10"/>
        <v>49.649033160315206</v>
      </c>
      <c r="O19" s="539">
        <v>61232</v>
      </c>
      <c r="P19" s="305">
        <f t="shared" si="2"/>
        <v>0.78686832523445283</v>
      </c>
      <c r="Q19" s="539">
        <v>4639280</v>
      </c>
      <c r="R19" s="541"/>
      <c r="S19" s="305">
        <f t="shared" si="3"/>
        <v>59.617560816136859</v>
      </c>
      <c r="T19" s="299">
        <f>SUM(O19+Q19)</f>
        <v>4700512</v>
      </c>
      <c r="U19" s="306">
        <f t="shared" si="5"/>
        <v>60.40442914137131</v>
      </c>
    </row>
    <row r="20" spans="2:27" s="21" customFormat="1" ht="30" customHeight="1" x14ac:dyDescent="0.2">
      <c r="B20" s="388" t="s">
        <v>51</v>
      </c>
      <c r="C20" s="267">
        <v>0</v>
      </c>
      <c r="D20" s="308">
        <f>C20/G21*100</f>
        <v>0</v>
      </c>
      <c r="E20" s="267">
        <v>1</v>
      </c>
      <c r="F20" s="304">
        <f>E20/G21*100</f>
        <v>1.7241379310344827</v>
      </c>
      <c r="G20" s="299">
        <f t="shared" si="9"/>
        <v>1</v>
      </c>
      <c r="H20" s="536">
        <f>SUM(D20+F20)</f>
        <v>1.7241379310344827</v>
      </c>
      <c r="I20" s="537">
        <v>0</v>
      </c>
      <c r="J20" s="304">
        <f t="shared" si="8"/>
        <v>0</v>
      </c>
      <c r="K20" s="537">
        <v>890</v>
      </c>
      <c r="L20" s="305">
        <f t="shared" si="4"/>
        <v>1.1967834763198235</v>
      </c>
      <c r="M20" s="299">
        <f t="shared" si="11"/>
        <v>890</v>
      </c>
      <c r="N20" s="306">
        <f t="shared" si="10"/>
        <v>1.1967834763198235</v>
      </c>
      <c r="O20" s="539">
        <v>0</v>
      </c>
      <c r="P20" s="305">
        <f t="shared" si="2"/>
        <v>0</v>
      </c>
      <c r="Q20" s="539">
        <v>1029920</v>
      </c>
      <c r="R20" s="543"/>
      <c r="S20" s="305">
        <f t="shared" si="3"/>
        <v>13.235096445085375</v>
      </c>
      <c r="T20" s="299">
        <f>SUM(O20+Q20)</f>
        <v>1029920</v>
      </c>
      <c r="U20" s="306">
        <f t="shared" si="5"/>
        <v>13.235096445085375</v>
      </c>
    </row>
    <row r="21" spans="2:27" s="139" customFormat="1" ht="54" customHeight="1" x14ac:dyDescent="0.2">
      <c r="B21" s="410" t="s">
        <v>6</v>
      </c>
      <c r="C21" s="429">
        <f>SUM(C9:C20)</f>
        <v>25</v>
      </c>
      <c r="D21" s="430">
        <f>SUM(D9:D20)</f>
        <v>43.103448275862064</v>
      </c>
      <c r="E21" s="429">
        <f>SUM(E9:E20)</f>
        <v>33</v>
      </c>
      <c r="F21" s="430">
        <f>SUM(F9:F20)</f>
        <v>56.896551724137922</v>
      </c>
      <c r="G21" s="682">
        <f>SUM(G9:G20)</f>
        <v>58</v>
      </c>
      <c r="H21" s="683">
        <f>SUM(D21+F21)</f>
        <v>99.999999999999986</v>
      </c>
      <c r="I21" s="429">
        <f>SUM(I9:I20)</f>
        <v>15531</v>
      </c>
      <c r="J21" s="430">
        <f>SUM(J9:J20)</f>
        <v>20.884544012048519</v>
      </c>
      <c r="K21" s="429">
        <f>SUM(K9:K20)</f>
        <v>58835</v>
      </c>
      <c r="L21" s="431">
        <f>SUM(L9:L20)</f>
        <v>79.115455987951478</v>
      </c>
      <c r="M21" s="682">
        <f>SUM(M9:M20)</f>
        <v>74366</v>
      </c>
      <c r="N21" s="684">
        <f>SUM(J21+L21)</f>
        <v>100</v>
      </c>
      <c r="O21" s="429">
        <f>SUM(O9:O20)</f>
        <v>238028</v>
      </c>
      <c r="P21" s="432">
        <f>SUM(P9:P20)</f>
        <v>3.0588041174370648</v>
      </c>
      <c r="Q21" s="429">
        <f>SUM(Q9:Q20)</f>
        <v>7543706</v>
      </c>
      <c r="R21" s="429"/>
      <c r="S21" s="431">
        <f>SUM(S9:S20)</f>
        <v>96.941195882562923</v>
      </c>
      <c r="T21" s="682">
        <f>SUM(T9:T20)</f>
        <v>7781734</v>
      </c>
      <c r="U21" s="685">
        <f>SUM(P21+S21)</f>
        <v>99.999999999999986</v>
      </c>
    </row>
    <row r="22" spans="2:27" s="1" customFormat="1" ht="29.25" customHeight="1" x14ac:dyDescent="0.2">
      <c r="B22" s="5" t="s">
        <v>217</v>
      </c>
      <c r="C22" s="84"/>
      <c r="D22" s="84"/>
      <c r="E22" s="84"/>
      <c r="F22" s="84"/>
      <c r="G22" s="84"/>
      <c r="H22" s="84"/>
      <c r="I22" s="84"/>
      <c r="J22" s="84"/>
      <c r="K22" s="84"/>
      <c r="L22" s="84"/>
      <c r="M22" s="84"/>
      <c r="V22" s="8"/>
      <c r="W22" s="4"/>
      <c r="X22" s="8"/>
      <c r="Y22" s="9"/>
      <c r="Z22" s="8"/>
      <c r="AA22" s="9"/>
    </row>
    <row r="23" spans="2:27" s="1" customFormat="1" ht="20.45" customHeight="1" x14ac:dyDescent="0.2">
      <c r="B23" s="10" t="s">
        <v>257</v>
      </c>
      <c r="C23" s="84"/>
      <c r="D23" s="11"/>
      <c r="E23" s="11"/>
      <c r="F23" s="11"/>
      <c r="G23" s="11"/>
      <c r="H23" s="11"/>
      <c r="I23" s="12"/>
      <c r="J23" s="12"/>
      <c r="K23" s="12"/>
      <c r="L23" s="12"/>
      <c r="M23" s="84"/>
      <c r="W23" s="13"/>
      <c r="X23" s="140"/>
      <c r="Y23" s="13"/>
      <c r="Z23" s="140"/>
      <c r="AA23" s="15"/>
    </row>
    <row r="24" spans="2:27" s="1" customFormat="1" ht="19.149999999999999" customHeight="1" x14ac:dyDescent="0.2">
      <c r="B24" s="16" t="s">
        <v>245</v>
      </c>
      <c r="C24" s="84"/>
      <c r="D24" s="84"/>
      <c r="E24" s="90"/>
      <c r="F24" s="90"/>
      <c r="G24" s="90"/>
      <c r="H24" s="90"/>
      <c r="I24" s="91"/>
      <c r="J24" s="92"/>
      <c r="K24" s="92"/>
      <c r="L24" s="84"/>
      <c r="M24" s="84"/>
    </row>
    <row r="25" spans="2:27" s="1" customFormat="1" ht="18" x14ac:dyDescent="0.2">
      <c r="B25" s="141"/>
      <c r="H25" s="3"/>
    </row>
  </sheetData>
  <mergeCells count="16">
    <mergeCell ref="B1:U1"/>
    <mergeCell ref="C5:H5"/>
    <mergeCell ref="O5:U5"/>
    <mergeCell ref="B3:U3"/>
    <mergeCell ref="B4:U4"/>
    <mergeCell ref="B5:B7"/>
    <mergeCell ref="C6:D6"/>
    <mergeCell ref="E6:F6"/>
    <mergeCell ref="Q6:S6"/>
    <mergeCell ref="T6:U6"/>
    <mergeCell ref="M6:N6"/>
    <mergeCell ref="O6:P6"/>
    <mergeCell ref="G6:H6"/>
    <mergeCell ref="K6:L6"/>
    <mergeCell ref="I6:J6"/>
    <mergeCell ref="Q7:R7"/>
  </mergeCells>
  <phoneticPr fontId="2" type="noConversion"/>
  <printOptions horizontalCentered="1" verticalCentered="1"/>
  <pageMargins left="0" right="0" top="0" bottom="0" header="0" footer="0"/>
  <pageSetup paperSize="9" scale="46" orientation="landscape" r:id="rId1"/>
  <headerFooter alignWithMargins="0"/>
  <ignoredErrors>
    <ignoredError sqref="H19:H21 N21"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B1:JC113"/>
  <sheetViews>
    <sheetView showGridLines="0" topLeftCell="B10" zoomScale="50" zoomScaleNormal="50" zoomScaleSheetLayoutView="50" workbookViewId="0">
      <selection activeCell="B5" sqref="B5:C6"/>
    </sheetView>
  </sheetViews>
  <sheetFormatPr baseColWidth="10" defaultColWidth="11.42578125" defaultRowHeight="12.75" x14ac:dyDescent="0.2"/>
  <cols>
    <col min="1" max="1" width="6.28515625" style="1" customWidth="1"/>
    <col min="2" max="2" width="1.7109375" style="1" customWidth="1"/>
    <col min="3" max="3" width="51" style="84" customWidth="1"/>
    <col min="4" max="4" width="8.42578125" style="1" customWidth="1"/>
    <col min="5" max="5" width="1.7109375" style="1" customWidth="1"/>
    <col min="6" max="6" width="8.28515625" style="1" customWidth="1"/>
    <col min="7" max="7" width="3.7109375" style="1" customWidth="1"/>
    <col min="8" max="8" width="8.28515625" style="1" customWidth="1"/>
    <col min="9" max="9" width="1.42578125" style="1" customWidth="1"/>
    <col min="10" max="10" width="11.5703125" style="1" customWidth="1"/>
    <col min="11" max="11" width="1.7109375" style="1" customWidth="1"/>
    <col min="12" max="12" width="12.42578125" style="1" customWidth="1"/>
    <col min="13" max="13" width="1.7109375" style="1" customWidth="1"/>
    <col min="14" max="14" width="15" style="1" customWidth="1"/>
    <col min="15" max="15" width="1.7109375" style="1" customWidth="1"/>
    <col min="16" max="16" width="14.42578125" style="1" customWidth="1"/>
    <col min="17" max="17" width="1.7109375" style="1" customWidth="1"/>
    <col min="18" max="18" width="13.28515625" style="1" customWidth="1"/>
    <col min="19" max="19" width="1.7109375" style="1" customWidth="1"/>
    <col min="20" max="20" width="13.28515625" style="1" customWidth="1"/>
    <col min="21" max="21" width="3.7109375" style="1" customWidth="1"/>
    <col min="22" max="22" width="13.7109375" style="1" customWidth="1"/>
    <col min="23" max="23" width="1.7109375" style="1" customWidth="1"/>
    <col min="24" max="24" width="13" style="1" customWidth="1"/>
    <col min="25" max="25" width="1.7109375" style="1" customWidth="1"/>
    <col min="26" max="26" width="16.140625" style="1" customWidth="1"/>
    <col min="27" max="27" width="1.7109375" style="1" customWidth="1"/>
    <col min="28" max="28" width="11.28515625" style="1" customWidth="1"/>
    <col min="29" max="29" width="1.7109375" style="1" customWidth="1"/>
    <col min="30" max="30" width="14.28515625" style="1" customWidth="1"/>
    <col min="31" max="31" width="1.7109375" style="1" customWidth="1"/>
    <col min="32" max="32" width="14.28515625" style="1" customWidth="1"/>
    <col min="33" max="33" width="1.7109375" style="1" customWidth="1"/>
    <col min="34" max="34" width="13.5703125" style="1" customWidth="1"/>
    <col min="35" max="35" width="1.5703125" style="1" customWidth="1"/>
    <col min="36" max="36" width="14.5703125" style="1" customWidth="1"/>
    <col min="37" max="37" width="1.7109375" style="1" customWidth="1"/>
    <col min="38" max="38" width="15.42578125" style="1" customWidth="1"/>
    <col min="39" max="39" width="1.7109375" style="1" customWidth="1"/>
    <col min="40" max="40" width="15" style="1" customWidth="1"/>
    <col min="41" max="41" width="1.7109375" style="1" customWidth="1"/>
    <col min="42" max="42" width="13.85546875" style="1" customWidth="1"/>
    <col min="43" max="43" width="1.7109375" style="1" customWidth="1"/>
    <col min="44" max="44" width="14.42578125" style="1" customWidth="1"/>
    <col min="45" max="45" width="1.7109375" style="1" customWidth="1"/>
    <col min="46" max="46" width="14.85546875" style="1" customWidth="1"/>
    <col min="47" max="47" width="1.7109375" style="1" customWidth="1"/>
    <col min="48" max="48" width="13.28515625" style="1" customWidth="1"/>
    <col min="49" max="49" width="1.7109375" style="1" customWidth="1"/>
    <col min="50" max="50" width="13.28515625" style="1" customWidth="1"/>
    <col min="51" max="51" width="1.5703125" style="1" customWidth="1"/>
    <col min="52" max="52" width="6.28515625" style="1" customWidth="1"/>
    <col min="53" max="53" width="1.7109375" style="1" customWidth="1"/>
    <col min="54" max="54" width="13.7109375" style="1" customWidth="1"/>
    <col min="55" max="55" width="1.7109375" style="1" customWidth="1"/>
    <col min="56" max="56" width="13.7109375" style="1" customWidth="1"/>
    <col min="57" max="57" width="1.7109375" style="1" customWidth="1"/>
    <col min="58" max="58" width="13.7109375" style="1" customWidth="1"/>
    <col min="59" max="59" width="1.7109375" style="1" customWidth="1"/>
    <col min="60" max="60" width="13.7109375" style="1" customWidth="1"/>
    <col min="61" max="61" width="1.7109375" style="1" customWidth="1"/>
    <col min="62" max="62" width="13.7109375" style="1" customWidth="1"/>
    <col min="63" max="63" width="1.7109375" style="1" customWidth="1"/>
    <col min="64" max="64" width="13.7109375" style="1" customWidth="1"/>
    <col min="65" max="65" width="1.7109375" style="1" customWidth="1"/>
    <col min="66" max="66" width="13.7109375" style="1" customWidth="1"/>
    <col min="67" max="67" width="1.7109375" style="1" customWidth="1"/>
    <col min="68" max="68" width="13.7109375" style="1" customWidth="1"/>
    <col min="69" max="69" width="1.7109375" style="1" customWidth="1"/>
    <col min="70" max="70" width="5.28515625" style="1" customWidth="1"/>
    <col min="71" max="16384" width="11.42578125" style="1"/>
  </cols>
  <sheetData>
    <row r="1" spans="2:263" s="21" customFormat="1" ht="25.15" customHeight="1" x14ac:dyDescent="0.2">
      <c r="B1" s="773" t="s">
        <v>47</v>
      </c>
      <c r="C1" s="773"/>
      <c r="D1" s="773"/>
      <c r="E1" s="773"/>
      <c r="F1" s="773"/>
      <c r="G1" s="773"/>
      <c r="H1" s="773"/>
      <c r="I1" s="773"/>
      <c r="J1" s="773"/>
      <c r="K1" s="773"/>
      <c r="L1" s="773"/>
      <c r="M1" s="773"/>
      <c r="N1" s="773"/>
      <c r="O1" s="773"/>
      <c r="P1" s="773"/>
      <c r="Q1" s="773"/>
      <c r="R1" s="773"/>
      <c r="S1" s="773"/>
      <c r="T1" s="773"/>
      <c r="U1" s="773"/>
      <c r="V1" s="773"/>
      <c r="W1" s="773"/>
      <c r="X1" s="773"/>
      <c r="Y1" s="773"/>
      <c r="Z1" s="773"/>
      <c r="AA1" s="773"/>
      <c r="AB1" s="773"/>
      <c r="AC1" s="773"/>
      <c r="AD1" s="773"/>
      <c r="AE1" s="773"/>
      <c r="AF1" s="773"/>
      <c r="AG1" s="773"/>
      <c r="AH1" s="773"/>
      <c r="AI1" s="773"/>
      <c r="AJ1" s="773"/>
      <c r="AK1" s="773"/>
      <c r="AL1" s="773"/>
      <c r="AM1" s="773"/>
      <c r="AN1" s="773"/>
      <c r="AO1" s="773"/>
      <c r="AP1" s="773"/>
      <c r="AQ1" s="773"/>
      <c r="AR1" s="773"/>
      <c r="AS1" s="773"/>
      <c r="AT1" s="773"/>
      <c r="AU1" s="773"/>
      <c r="AV1" s="773"/>
      <c r="AW1" s="773"/>
      <c r="AX1" s="773"/>
      <c r="AY1" s="773"/>
      <c r="AZ1" s="97"/>
      <c r="BA1" s="97"/>
      <c r="BB1" s="97"/>
      <c r="BC1" s="97"/>
      <c r="BD1" s="97"/>
      <c r="BE1" s="97"/>
      <c r="BF1" s="97"/>
      <c r="BG1" s="97"/>
      <c r="BH1" s="97"/>
      <c r="BI1" s="97"/>
      <c r="BJ1" s="97"/>
      <c r="BK1" s="97"/>
      <c r="BL1" s="97"/>
      <c r="BM1" s="97"/>
      <c r="BN1" s="97"/>
      <c r="BO1" s="97"/>
      <c r="BP1" s="97"/>
      <c r="BQ1" s="97"/>
    </row>
    <row r="2" spans="2:263" s="21" customFormat="1" ht="25.15" customHeight="1" x14ac:dyDescent="0.2">
      <c r="B2" s="813" t="s">
        <v>145</v>
      </c>
      <c r="C2" s="813"/>
      <c r="D2" s="813"/>
      <c r="E2" s="813"/>
      <c r="F2" s="813"/>
      <c r="G2" s="813"/>
      <c r="H2" s="813"/>
      <c r="I2" s="813"/>
      <c r="J2" s="813"/>
      <c r="K2" s="813"/>
      <c r="L2" s="813"/>
      <c r="M2" s="813"/>
      <c r="N2" s="813"/>
      <c r="O2" s="813"/>
      <c r="P2" s="813"/>
      <c r="Q2" s="813"/>
      <c r="R2" s="813"/>
      <c r="S2" s="813"/>
      <c r="T2" s="813"/>
      <c r="U2" s="813"/>
      <c r="V2" s="813"/>
      <c r="W2" s="813"/>
      <c r="X2" s="813"/>
      <c r="Y2" s="813"/>
      <c r="Z2" s="813"/>
      <c r="AA2" s="813"/>
      <c r="AB2" s="813"/>
      <c r="AC2" s="813"/>
      <c r="AD2" s="813"/>
      <c r="AE2" s="813"/>
      <c r="AF2" s="813"/>
      <c r="AG2" s="813"/>
      <c r="AH2" s="813"/>
      <c r="AI2" s="813"/>
      <c r="AJ2" s="813"/>
      <c r="AK2" s="813"/>
      <c r="AL2" s="813"/>
      <c r="AM2" s="813"/>
      <c r="AN2" s="813"/>
      <c r="AO2" s="813"/>
      <c r="AP2" s="813"/>
      <c r="AQ2" s="813"/>
      <c r="AR2" s="813"/>
      <c r="AS2" s="813"/>
      <c r="AT2" s="813"/>
      <c r="AU2" s="813"/>
      <c r="AV2" s="813"/>
      <c r="AW2" s="813"/>
      <c r="AX2" s="813"/>
      <c r="AY2" s="813"/>
      <c r="AZ2" s="143"/>
      <c r="BA2" s="143"/>
      <c r="BB2" s="143"/>
      <c r="BC2" s="143"/>
      <c r="BD2" s="143"/>
      <c r="BE2" s="143"/>
      <c r="BF2" s="143"/>
      <c r="BG2" s="143"/>
      <c r="BH2" s="143"/>
      <c r="BI2" s="143"/>
      <c r="BJ2" s="143"/>
      <c r="BK2" s="143"/>
      <c r="BL2" s="143"/>
      <c r="BM2" s="143"/>
      <c r="BN2" s="143"/>
      <c r="BO2" s="143"/>
      <c r="BP2" s="143"/>
      <c r="BQ2" s="143"/>
    </row>
    <row r="3" spans="2:263" s="21" customFormat="1" ht="23.25" x14ac:dyDescent="0.2">
      <c r="B3" s="773" t="s">
        <v>107</v>
      </c>
      <c r="C3" s="773"/>
      <c r="D3" s="773"/>
      <c r="E3" s="773"/>
      <c r="F3" s="773"/>
      <c r="G3" s="773"/>
      <c r="H3" s="773"/>
      <c r="I3" s="773"/>
      <c r="J3" s="773"/>
      <c r="K3" s="773"/>
      <c r="L3" s="773"/>
      <c r="M3" s="773"/>
      <c r="N3" s="773"/>
      <c r="O3" s="773"/>
      <c r="P3" s="773"/>
      <c r="Q3" s="773"/>
      <c r="R3" s="773"/>
      <c r="S3" s="773"/>
      <c r="T3" s="773"/>
      <c r="U3" s="773"/>
      <c r="V3" s="773"/>
      <c r="W3" s="773"/>
      <c r="X3" s="773"/>
      <c r="Y3" s="773"/>
      <c r="Z3" s="773"/>
      <c r="AA3" s="773"/>
      <c r="AB3" s="773"/>
      <c r="AC3" s="773"/>
      <c r="AD3" s="773"/>
      <c r="AE3" s="773"/>
      <c r="AF3" s="773"/>
      <c r="AG3" s="773"/>
      <c r="AH3" s="773"/>
      <c r="AI3" s="773"/>
      <c r="AJ3" s="773"/>
      <c r="AK3" s="773"/>
      <c r="AL3" s="773"/>
      <c r="AM3" s="773"/>
      <c r="AN3" s="773"/>
      <c r="AO3" s="773"/>
      <c r="AP3" s="773"/>
      <c r="AQ3" s="773"/>
      <c r="AR3" s="773"/>
      <c r="AS3" s="773"/>
      <c r="AT3" s="773"/>
      <c r="AU3" s="773"/>
      <c r="AV3" s="773"/>
      <c r="AW3" s="773"/>
      <c r="AX3" s="773"/>
      <c r="AY3" s="773"/>
      <c r="AZ3" s="97"/>
      <c r="BA3" s="97"/>
      <c r="BB3" s="97"/>
      <c r="BC3" s="97"/>
      <c r="BD3" s="97"/>
      <c r="BE3" s="97"/>
      <c r="BF3" s="97"/>
      <c r="BG3" s="97"/>
      <c r="BH3" s="97"/>
      <c r="BI3" s="97"/>
      <c r="BJ3" s="97"/>
      <c r="BK3" s="97"/>
      <c r="BL3" s="97"/>
      <c r="BM3" s="97"/>
      <c r="BN3" s="97"/>
      <c r="BO3" s="97"/>
      <c r="BP3" s="97"/>
      <c r="BQ3" s="97"/>
    </row>
    <row r="4" spans="2:263" s="21" customFormat="1" ht="25.15" customHeight="1" x14ac:dyDescent="0.2">
      <c r="B4" s="773" t="s">
        <v>331</v>
      </c>
      <c r="C4" s="773"/>
      <c r="D4" s="773"/>
      <c r="E4" s="773"/>
      <c r="F4" s="773"/>
      <c r="G4" s="773"/>
      <c r="H4" s="773"/>
      <c r="I4" s="773"/>
      <c r="J4" s="773"/>
      <c r="K4" s="773"/>
      <c r="L4" s="773"/>
      <c r="M4" s="773"/>
      <c r="N4" s="773"/>
      <c r="O4" s="773"/>
      <c r="P4" s="773"/>
      <c r="Q4" s="773"/>
      <c r="R4" s="773"/>
      <c r="S4" s="773"/>
      <c r="T4" s="773"/>
      <c r="U4" s="773"/>
      <c r="V4" s="773"/>
      <c r="W4" s="773"/>
      <c r="X4" s="773"/>
      <c r="Y4" s="773"/>
      <c r="Z4" s="773"/>
      <c r="AA4" s="773"/>
      <c r="AB4" s="773"/>
      <c r="AC4" s="773"/>
      <c r="AD4" s="773"/>
      <c r="AE4" s="773"/>
      <c r="AF4" s="773"/>
      <c r="AG4" s="773"/>
      <c r="AH4" s="773"/>
      <c r="AI4" s="773"/>
      <c r="AJ4" s="773"/>
      <c r="AK4" s="773"/>
      <c r="AL4" s="773"/>
      <c r="AM4" s="773"/>
      <c r="AN4" s="773"/>
      <c r="AO4" s="773"/>
      <c r="AP4" s="773"/>
      <c r="AQ4" s="773"/>
      <c r="AR4" s="773"/>
      <c r="AS4" s="773"/>
      <c r="AT4" s="773"/>
      <c r="AU4" s="773"/>
      <c r="AV4" s="773"/>
      <c r="AW4" s="773"/>
      <c r="AX4" s="773"/>
      <c r="AY4" s="773"/>
      <c r="AZ4" s="773"/>
      <c r="BA4" s="773"/>
      <c r="BB4" s="773"/>
      <c r="BC4" s="773"/>
      <c r="BD4" s="773"/>
      <c r="BE4" s="773"/>
      <c r="BF4" s="773"/>
      <c r="BG4" s="773"/>
      <c r="BH4" s="773"/>
      <c r="BI4" s="773"/>
      <c r="BJ4" s="773"/>
      <c r="BK4" s="773"/>
      <c r="BL4" s="773"/>
      <c r="BM4" s="773"/>
      <c r="BN4" s="773"/>
      <c r="BO4" s="773"/>
      <c r="BP4" s="773"/>
      <c r="BQ4" s="773"/>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c r="DI4" s="31"/>
      <c r="DJ4" s="31"/>
      <c r="DK4" s="31"/>
      <c r="DL4" s="31"/>
      <c r="DM4" s="31"/>
      <c r="DN4" s="31"/>
      <c r="DO4" s="31"/>
      <c r="DP4" s="698"/>
      <c r="DQ4" s="698"/>
      <c r="DR4" s="698"/>
      <c r="DS4" s="698"/>
      <c r="DT4" s="698"/>
      <c r="DU4" s="698"/>
      <c r="DV4" s="698"/>
      <c r="DW4" s="698"/>
      <c r="DX4" s="698"/>
      <c r="DY4" s="698"/>
      <c r="DZ4" s="698"/>
      <c r="EA4" s="698"/>
      <c r="EB4" s="698"/>
      <c r="EC4" s="698"/>
      <c r="ED4" s="698"/>
      <c r="EE4" s="698"/>
      <c r="EF4" s="698"/>
      <c r="EG4" s="698"/>
      <c r="EH4" s="698"/>
      <c r="EI4" s="698"/>
      <c r="EJ4" s="698"/>
      <c r="EK4" s="698"/>
      <c r="EL4" s="698"/>
      <c r="EM4" s="698"/>
      <c r="EN4" s="698"/>
      <c r="EO4" s="698"/>
      <c r="EP4" s="698"/>
      <c r="EQ4" s="698"/>
      <c r="ER4" s="698"/>
      <c r="ES4" s="698"/>
      <c r="ET4" s="698"/>
      <c r="EU4" s="698"/>
      <c r="EV4" s="698"/>
      <c r="EW4" s="698"/>
      <c r="EX4" s="698"/>
      <c r="EY4" s="698"/>
      <c r="EZ4" s="698"/>
      <c r="FA4" s="698"/>
      <c r="FB4" s="698"/>
      <c r="FC4" s="698"/>
      <c r="FD4" s="698"/>
      <c r="FE4" s="698"/>
      <c r="FF4" s="698"/>
      <c r="FG4" s="698"/>
      <c r="FH4" s="698"/>
      <c r="FI4" s="698"/>
      <c r="FJ4" s="698"/>
      <c r="FK4" s="698"/>
      <c r="FL4" s="698"/>
      <c r="FM4" s="698"/>
      <c r="FN4" s="698"/>
      <c r="FO4" s="698"/>
      <c r="FP4" s="698"/>
      <c r="FQ4" s="698"/>
      <c r="FR4" s="698"/>
      <c r="FS4" s="698"/>
      <c r="FT4" s="698"/>
      <c r="FU4" s="698"/>
      <c r="FV4" s="698"/>
      <c r="FW4" s="698"/>
      <c r="FX4" s="698"/>
      <c r="FY4" s="698"/>
      <c r="FZ4" s="698"/>
      <c r="GA4" s="698"/>
      <c r="GB4" s="698"/>
      <c r="GC4" s="698"/>
      <c r="GD4" s="698"/>
      <c r="GE4" s="698"/>
      <c r="GF4" s="698"/>
      <c r="GG4" s="698"/>
      <c r="GH4" s="698"/>
      <c r="GI4" s="698"/>
      <c r="GJ4" s="698"/>
      <c r="GK4" s="698"/>
      <c r="GL4" s="698"/>
      <c r="GM4" s="698"/>
      <c r="GN4" s="698"/>
      <c r="GO4" s="698"/>
      <c r="GP4" s="698"/>
      <c r="GQ4" s="698"/>
      <c r="GR4" s="698"/>
      <c r="GS4" s="698"/>
      <c r="GT4" s="698"/>
      <c r="GU4" s="698"/>
      <c r="GV4" s="698"/>
      <c r="GW4" s="698"/>
      <c r="GX4" s="698"/>
      <c r="GY4" s="698"/>
      <c r="GZ4" s="698"/>
      <c r="HA4" s="698"/>
      <c r="HB4" s="698"/>
      <c r="HC4" s="698"/>
      <c r="HD4" s="698"/>
      <c r="HE4" s="698"/>
      <c r="HF4" s="698"/>
      <c r="HG4" s="698"/>
      <c r="HH4" s="698"/>
      <c r="HI4" s="698"/>
      <c r="HJ4" s="698"/>
      <c r="HK4" s="698"/>
      <c r="HL4" s="698"/>
      <c r="HM4" s="698"/>
      <c r="HN4" s="698"/>
      <c r="HO4" s="698"/>
      <c r="HP4" s="698"/>
      <c r="HQ4" s="698"/>
      <c r="HR4" s="698"/>
      <c r="HS4" s="698"/>
      <c r="HT4" s="698"/>
      <c r="HU4" s="698"/>
      <c r="HV4" s="698"/>
      <c r="HW4" s="698"/>
      <c r="HX4" s="698"/>
      <c r="HY4" s="698"/>
      <c r="HZ4" s="698"/>
      <c r="IA4" s="698"/>
      <c r="IB4" s="698"/>
      <c r="IC4" s="698"/>
      <c r="ID4" s="698"/>
      <c r="IE4" s="698"/>
      <c r="IF4" s="698"/>
      <c r="IG4" s="698"/>
      <c r="IH4" s="698"/>
      <c r="II4" s="698"/>
      <c r="IJ4" s="698"/>
      <c r="IK4" s="698"/>
      <c r="IL4" s="698"/>
      <c r="IM4" s="698"/>
      <c r="IN4" s="698"/>
      <c r="IO4" s="698"/>
      <c r="IP4" s="698"/>
      <c r="IQ4" s="698"/>
      <c r="IR4" s="698"/>
      <c r="IS4" s="698"/>
      <c r="IT4" s="698"/>
      <c r="IU4" s="698"/>
      <c r="IV4" s="698"/>
      <c r="IW4" s="698"/>
      <c r="IX4" s="698"/>
      <c r="IY4" s="698"/>
      <c r="IZ4" s="698"/>
      <c r="JA4" s="698"/>
      <c r="JB4" s="698"/>
      <c r="JC4" s="698"/>
    </row>
    <row r="5" spans="2:263" s="21" customFormat="1" ht="25.15" customHeight="1" x14ac:dyDescent="0.2">
      <c r="B5" s="708" t="s">
        <v>123</v>
      </c>
      <c r="C5" s="723"/>
      <c r="D5" s="710" t="s">
        <v>2</v>
      </c>
      <c r="E5" s="711"/>
      <c r="F5" s="711"/>
      <c r="G5" s="711"/>
      <c r="H5" s="711"/>
      <c r="I5" s="711"/>
      <c r="J5" s="711"/>
      <c r="K5" s="711"/>
      <c r="L5" s="711"/>
      <c r="M5" s="711"/>
      <c r="N5" s="711"/>
      <c r="O5" s="711"/>
      <c r="P5" s="711"/>
      <c r="Q5" s="711"/>
      <c r="R5" s="711"/>
      <c r="S5" s="711"/>
      <c r="T5" s="710" t="s">
        <v>15</v>
      </c>
      <c r="U5" s="711"/>
      <c r="V5" s="711"/>
      <c r="W5" s="711"/>
      <c r="X5" s="711"/>
      <c r="Y5" s="711"/>
      <c r="Z5" s="711"/>
      <c r="AA5" s="711"/>
      <c r="AB5" s="711"/>
      <c r="AC5" s="711"/>
      <c r="AD5" s="711"/>
      <c r="AE5" s="711"/>
      <c r="AF5" s="711"/>
      <c r="AG5" s="711"/>
      <c r="AH5" s="711"/>
      <c r="AI5" s="711"/>
      <c r="AJ5" s="710" t="s">
        <v>12</v>
      </c>
      <c r="AK5" s="711"/>
      <c r="AL5" s="711"/>
      <c r="AM5" s="711"/>
      <c r="AN5" s="711"/>
      <c r="AO5" s="711"/>
      <c r="AP5" s="711"/>
      <c r="AQ5" s="711"/>
      <c r="AR5" s="711"/>
      <c r="AS5" s="711"/>
      <c r="AT5" s="711"/>
      <c r="AU5" s="711"/>
      <c r="AV5" s="711"/>
      <c r="AW5" s="711"/>
      <c r="AX5" s="711"/>
      <c r="AY5" s="711"/>
      <c r="AZ5" s="144"/>
      <c r="BA5" s="144"/>
      <c r="BB5" s="144"/>
      <c r="BC5" s="144"/>
      <c r="BD5" s="144"/>
      <c r="BE5" s="144"/>
      <c r="BF5" s="144"/>
      <c r="BG5" s="144"/>
      <c r="BH5" s="144"/>
      <c r="BI5" s="144"/>
      <c r="BJ5" s="144"/>
      <c r="BK5" s="144"/>
      <c r="BL5" s="144"/>
      <c r="BM5" s="144"/>
      <c r="BN5" s="144"/>
      <c r="BO5" s="144"/>
      <c r="BP5" s="144"/>
      <c r="BQ5" s="144"/>
    </row>
    <row r="6" spans="2:263" s="21" customFormat="1" ht="25.15" customHeight="1" x14ac:dyDescent="0.2">
      <c r="B6" s="708"/>
      <c r="C6" s="723"/>
      <c r="D6" s="716">
        <v>1990</v>
      </c>
      <c r="E6" s="717"/>
      <c r="F6" s="717">
        <v>1991</v>
      </c>
      <c r="G6" s="717"/>
      <c r="H6" s="717">
        <v>1992</v>
      </c>
      <c r="I6" s="717"/>
      <c r="J6" s="717">
        <v>1993</v>
      </c>
      <c r="K6" s="717"/>
      <c r="L6" s="717">
        <v>1994</v>
      </c>
      <c r="M6" s="717"/>
      <c r="N6" s="717">
        <v>1995</v>
      </c>
      <c r="O6" s="717"/>
      <c r="P6" s="717">
        <v>1996</v>
      </c>
      <c r="Q6" s="717"/>
      <c r="R6" s="717">
        <v>1997</v>
      </c>
      <c r="S6" s="717"/>
      <c r="T6" s="716">
        <v>1990</v>
      </c>
      <c r="U6" s="717"/>
      <c r="V6" s="717">
        <v>1991</v>
      </c>
      <c r="W6" s="717"/>
      <c r="X6" s="717">
        <v>1992</v>
      </c>
      <c r="Y6" s="717"/>
      <c r="Z6" s="717">
        <v>1993</v>
      </c>
      <c r="AA6" s="717"/>
      <c r="AB6" s="717">
        <v>1994</v>
      </c>
      <c r="AC6" s="717"/>
      <c r="AD6" s="717">
        <v>1995</v>
      </c>
      <c r="AE6" s="717"/>
      <c r="AF6" s="717">
        <v>1996</v>
      </c>
      <c r="AG6" s="717"/>
      <c r="AH6" s="717">
        <v>1997</v>
      </c>
      <c r="AI6" s="717"/>
      <c r="AJ6" s="716">
        <v>1990</v>
      </c>
      <c r="AK6" s="717"/>
      <c r="AL6" s="717">
        <v>1991</v>
      </c>
      <c r="AM6" s="717"/>
      <c r="AN6" s="717">
        <v>1992</v>
      </c>
      <c r="AO6" s="717"/>
      <c r="AP6" s="717">
        <v>1993</v>
      </c>
      <c r="AQ6" s="717"/>
      <c r="AR6" s="717">
        <v>1994</v>
      </c>
      <c r="AS6" s="717"/>
      <c r="AT6" s="717">
        <v>1995</v>
      </c>
      <c r="AU6" s="717"/>
      <c r="AV6" s="717">
        <v>1996</v>
      </c>
      <c r="AW6" s="717"/>
      <c r="AX6" s="717">
        <v>1997</v>
      </c>
      <c r="AY6" s="717"/>
      <c r="AZ6" s="804"/>
      <c r="BA6" s="804"/>
      <c r="BB6" s="804"/>
      <c r="BC6" s="804"/>
      <c r="BD6" s="804"/>
      <c r="BE6" s="804"/>
      <c r="BF6" s="804"/>
      <c r="BG6" s="804"/>
      <c r="BH6" s="804"/>
      <c r="BI6" s="804"/>
      <c r="BJ6" s="804"/>
      <c r="BK6" s="804"/>
      <c r="BL6" s="804"/>
      <c r="BM6" s="804"/>
      <c r="BN6" s="804"/>
      <c r="BO6" s="804"/>
      <c r="BP6" s="804"/>
      <c r="BQ6" s="804"/>
    </row>
    <row r="7" spans="2:263" s="141" customFormat="1" ht="25.15" customHeight="1" x14ac:dyDescent="0.2">
      <c r="B7" s="433"/>
      <c r="C7" s="434" t="s">
        <v>88</v>
      </c>
      <c r="D7" s="145">
        <v>4</v>
      </c>
      <c r="E7" s="145"/>
      <c r="F7" s="145">
        <v>2</v>
      </c>
      <c r="G7" s="145"/>
      <c r="H7" s="145">
        <v>2</v>
      </c>
      <c r="I7" s="145"/>
      <c r="J7" s="145">
        <v>0</v>
      </c>
      <c r="K7" s="145"/>
      <c r="L7" s="145">
        <v>2</v>
      </c>
      <c r="M7" s="145"/>
      <c r="N7" s="145">
        <v>0</v>
      </c>
      <c r="O7" s="145"/>
      <c r="P7" s="313" t="s">
        <v>8</v>
      </c>
      <c r="Q7" s="146"/>
      <c r="R7" s="145">
        <v>1</v>
      </c>
      <c r="S7" s="145"/>
      <c r="T7" s="145">
        <v>938</v>
      </c>
      <c r="U7" s="145"/>
      <c r="V7" s="145">
        <v>49</v>
      </c>
      <c r="W7" s="145"/>
      <c r="X7" s="145">
        <v>518</v>
      </c>
      <c r="Y7" s="145"/>
      <c r="Z7" s="145">
        <v>0</v>
      </c>
      <c r="AA7" s="145"/>
      <c r="AB7" s="145">
        <v>311</v>
      </c>
      <c r="AC7" s="84"/>
      <c r="AD7" s="145">
        <v>0</v>
      </c>
      <c r="AE7" s="145"/>
      <c r="AF7" s="145">
        <v>0</v>
      </c>
      <c r="AG7" s="145"/>
      <c r="AH7" s="145">
        <v>100</v>
      </c>
      <c r="AI7" s="145"/>
      <c r="AJ7" s="145">
        <v>41668</v>
      </c>
      <c r="AK7" s="145"/>
      <c r="AL7" s="145">
        <v>4140</v>
      </c>
      <c r="AM7" s="145"/>
      <c r="AN7" s="145">
        <v>7576</v>
      </c>
      <c r="AO7" s="145"/>
      <c r="AP7" s="145">
        <v>0</v>
      </c>
      <c r="AQ7" s="145"/>
      <c r="AR7" s="145">
        <v>14928</v>
      </c>
      <c r="AS7" s="145"/>
      <c r="AT7" s="145">
        <v>0</v>
      </c>
      <c r="AU7" s="84"/>
      <c r="AV7" s="145">
        <v>0</v>
      </c>
      <c r="AW7" s="145"/>
      <c r="AX7" s="145">
        <v>2400</v>
      </c>
      <c r="AY7" s="84"/>
      <c r="AZ7" s="147"/>
      <c r="BA7" s="147"/>
      <c r="BB7" s="147"/>
      <c r="BC7" s="147"/>
      <c r="BD7" s="147"/>
      <c r="BE7" s="147"/>
      <c r="BF7" s="147"/>
      <c r="BG7" s="147"/>
      <c r="BH7" s="147"/>
      <c r="BI7" s="148"/>
      <c r="BJ7" s="147"/>
      <c r="BK7" s="147"/>
      <c r="BL7" s="147"/>
      <c r="BM7" s="148"/>
      <c r="BN7" s="147"/>
      <c r="BO7" s="149"/>
      <c r="BP7" s="147"/>
      <c r="BQ7" s="150"/>
    </row>
    <row r="8" spans="2:263" s="141" customFormat="1" ht="25.15" customHeight="1" x14ac:dyDescent="0.2">
      <c r="B8" s="433"/>
      <c r="C8" s="435" t="s">
        <v>18</v>
      </c>
      <c r="D8" s="145">
        <v>11</v>
      </c>
      <c r="E8" s="145"/>
      <c r="F8" s="145">
        <v>4</v>
      </c>
      <c r="G8" s="145"/>
      <c r="H8" s="145">
        <v>6</v>
      </c>
      <c r="I8" s="145"/>
      <c r="J8" s="145">
        <v>0</v>
      </c>
      <c r="K8" s="145"/>
      <c r="L8" s="145">
        <v>5</v>
      </c>
      <c r="M8" s="145"/>
      <c r="N8" s="145">
        <v>0</v>
      </c>
      <c r="O8" s="145"/>
      <c r="P8" s="145">
        <v>5</v>
      </c>
      <c r="Q8" s="145"/>
      <c r="R8" s="145">
        <v>0</v>
      </c>
      <c r="S8" s="145"/>
      <c r="T8" s="145">
        <v>7290</v>
      </c>
      <c r="U8" s="145"/>
      <c r="V8" s="145">
        <v>8556</v>
      </c>
      <c r="W8" s="145"/>
      <c r="X8" s="145">
        <v>8280</v>
      </c>
      <c r="Y8" s="145"/>
      <c r="Z8" s="145">
        <v>0</v>
      </c>
      <c r="AA8" s="145"/>
      <c r="AB8" s="145">
        <v>657</v>
      </c>
      <c r="AC8" s="84"/>
      <c r="AD8" s="145">
        <v>0</v>
      </c>
      <c r="AE8" s="145"/>
      <c r="AF8" s="145">
        <v>1560</v>
      </c>
      <c r="AG8" s="145"/>
      <c r="AH8" s="145">
        <v>0</v>
      </c>
      <c r="AI8" s="145"/>
      <c r="AJ8" s="145">
        <v>260808</v>
      </c>
      <c r="AK8" s="145"/>
      <c r="AL8" s="145">
        <v>1000896</v>
      </c>
      <c r="AM8" s="145"/>
      <c r="AN8" s="145">
        <v>74144</v>
      </c>
      <c r="AO8" s="145"/>
      <c r="AP8" s="145">
        <v>0</v>
      </c>
      <c r="AQ8" s="145"/>
      <c r="AR8" s="145">
        <v>5256</v>
      </c>
      <c r="AS8" s="145"/>
      <c r="AT8" s="145">
        <v>0</v>
      </c>
      <c r="AU8" s="84"/>
      <c r="AV8" s="145">
        <v>215616</v>
      </c>
      <c r="AW8" s="145"/>
      <c r="AX8" s="145">
        <v>0</v>
      </c>
      <c r="AY8" s="84"/>
      <c r="AZ8" s="147"/>
      <c r="BA8" s="147"/>
      <c r="BB8" s="147"/>
      <c r="BC8" s="147"/>
      <c r="BD8" s="147"/>
      <c r="BE8" s="147"/>
      <c r="BF8" s="147"/>
      <c r="BG8" s="147"/>
      <c r="BH8" s="147"/>
      <c r="BI8" s="148"/>
      <c r="BJ8" s="147"/>
      <c r="BK8" s="147"/>
      <c r="BL8" s="147"/>
      <c r="BM8" s="148"/>
      <c r="BN8" s="147"/>
      <c r="BO8" s="149"/>
      <c r="BP8" s="147"/>
      <c r="BQ8" s="150"/>
    </row>
    <row r="9" spans="2:263" s="141" customFormat="1" ht="25.15" customHeight="1" x14ac:dyDescent="0.2">
      <c r="B9" s="433"/>
      <c r="C9" s="435" t="s">
        <v>108</v>
      </c>
      <c r="D9" s="145">
        <v>106</v>
      </c>
      <c r="E9" s="145"/>
      <c r="F9" s="145">
        <v>65</v>
      </c>
      <c r="G9" s="145"/>
      <c r="H9" s="145">
        <v>46</v>
      </c>
      <c r="I9" s="145"/>
      <c r="J9" s="145">
        <v>24</v>
      </c>
      <c r="K9" s="145"/>
      <c r="L9" s="145">
        <v>35</v>
      </c>
      <c r="M9" s="145"/>
      <c r="N9" s="145">
        <v>37</v>
      </c>
      <c r="O9" s="145"/>
      <c r="P9" s="145">
        <v>26</v>
      </c>
      <c r="Q9" s="145"/>
      <c r="R9" s="145">
        <v>7</v>
      </c>
      <c r="S9" s="145"/>
      <c r="T9" s="145">
        <v>68662</v>
      </c>
      <c r="U9" s="145"/>
      <c r="V9" s="145">
        <v>47012</v>
      </c>
      <c r="W9" s="145"/>
      <c r="X9" s="145">
        <v>26701</v>
      </c>
      <c r="Y9" s="145"/>
      <c r="Z9" s="145">
        <v>8505</v>
      </c>
      <c r="AA9" s="145"/>
      <c r="AB9" s="145">
        <v>20010</v>
      </c>
      <c r="AC9" s="84"/>
      <c r="AD9" s="145">
        <v>14214</v>
      </c>
      <c r="AE9" s="145"/>
      <c r="AF9" s="145">
        <v>11764</v>
      </c>
      <c r="AG9" s="145"/>
      <c r="AH9" s="145">
        <v>979</v>
      </c>
      <c r="AI9" s="145"/>
      <c r="AJ9" s="145">
        <v>5425686</v>
      </c>
      <c r="AK9" s="145"/>
      <c r="AL9" s="145">
        <v>1965773</v>
      </c>
      <c r="AM9" s="145"/>
      <c r="AN9" s="145">
        <v>654858</v>
      </c>
      <c r="AO9" s="145"/>
      <c r="AP9" s="145">
        <v>418402</v>
      </c>
      <c r="AQ9" s="145"/>
      <c r="AR9" s="145">
        <v>615688</v>
      </c>
      <c r="AS9" s="145"/>
      <c r="AT9" s="145">
        <v>286656</v>
      </c>
      <c r="AU9" s="84"/>
      <c r="AV9" s="145">
        <v>664692</v>
      </c>
      <c r="AW9" s="145"/>
      <c r="AX9" s="145">
        <v>41498</v>
      </c>
      <c r="AY9" s="84"/>
      <c r="AZ9" s="147"/>
      <c r="BA9" s="147"/>
      <c r="BB9" s="147"/>
      <c r="BC9" s="147"/>
      <c r="BD9" s="147"/>
      <c r="BE9" s="147"/>
      <c r="BF9" s="147"/>
      <c r="BG9" s="147"/>
      <c r="BH9" s="147"/>
      <c r="BI9" s="148"/>
      <c r="BJ9" s="147"/>
      <c r="BK9" s="147"/>
      <c r="BL9" s="147"/>
      <c r="BM9" s="148"/>
      <c r="BN9" s="147"/>
      <c r="BO9" s="149"/>
      <c r="BP9" s="147"/>
      <c r="BQ9" s="150"/>
    </row>
    <row r="10" spans="2:263" s="141" customFormat="1" ht="25.15" customHeight="1" x14ac:dyDescent="0.2">
      <c r="B10" s="433"/>
      <c r="C10" s="435" t="s">
        <v>131</v>
      </c>
      <c r="D10" s="145">
        <v>268</v>
      </c>
      <c r="E10" s="145"/>
      <c r="F10" s="145">
        <v>145</v>
      </c>
      <c r="G10" s="145"/>
      <c r="H10" s="145">
        <v>113</v>
      </c>
      <c r="I10" s="145"/>
      <c r="J10" s="145">
        <v>96</v>
      </c>
      <c r="K10" s="145"/>
      <c r="L10" s="145">
        <v>65</v>
      </c>
      <c r="M10" s="145"/>
      <c r="N10" s="145">
        <v>28</v>
      </c>
      <c r="O10" s="145"/>
      <c r="P10" s="145">
        <v>10</v>
      </c>
      <c r="Q10" s="145"/>
      <c r="R10" s="145">
        <v>14</v>
      </c>
      <c r="S10" s="145"/>
      <c r="T10" s="145">
        <v>47364</v>
      </c>
      <c r="U10" s="145"/>
      <c r="V10" s="145">
        <v>32764</v>
      </c>
      <c r="W10" s="145"/>
      <c r="X10" s="145">
        <v>34744</v>
      </c>
      <c r="Y10" s="145"/>
      <c r="Z10" s="145">
        <v>22580</v>
      </c>
      <c r="AA10" s="145"/>
      <c r="AB10" s="145">
        <v>10890</v>
      </c>
      <c r="AC10" s="84"/>
      <c r="AD10" s="145">
        <v>3621</v>
      </c>
      <c r="AE10" s="145"/>
      <c r="AF10" s="145">
        <v>3079</v>
      </c>
      <c r="AG10" s="145"/>
      <c r="AH10" s="145">
        <v>1691</v>
      </c>
      <c r="AI10" s="145"/>
      <c r="AJ10" s="145">
        <v>3748253</v>
      </c>
      <c r="AK10" s="145"/>
      <c r="AL10" s="145">
        <v>2280591</v>
      </c>
      <c r="AM10" s="145"/>
      <c r="AN10" s="145">
        <v>826290</v>
      </c>
      <c r="AO10" s="145"/>
      <c r="AP10" s="145">
        <v>1207762</v>
      </c>
      <c r="AQ10" s="145"/>
      <c r="AR10" s="145">
        <v>641020</v>
      </c>
      <c r="AS10" s="145"/>
      <c r="AT10" s="145">
        <v>307170</v>
      </c>
      <c r="AU10" s="84"/>
      <c r="AV10" s="145">
        <v>178306</v>
      </c>
      <c r="AW10" s="145"/>
      <c r="AX10" s="145">
        <v>19592</v>
      </c>
      <c r="AY10" s="84"/>
      <c r="AZ10" s="147"/>
      <c r="BA10" s="147"/>
      <c r="BB10" s="147"/>
      <c r="BC10" s="147"/>
      <c r="BD10" s="147"/>
      <c r="BE10" s="147"/>
      <c r="BF10" s="147"/>
      <c r="BG10" s="147"/>
      <c r="BH10" s="147"/>
      <c r="BI10" s="148"/>
      <c r="BJ10" s="147"/>
      <c r="BK10" s="147"/>
      <c r="BL10" s="147"/>
      <c r="BM10" s="148"/>
      <c r="BN10" s="147"/>
      <c r="BO10" s="149"/>
      <c r="BP10" s="147"/>
      <c r="BQ10" s="150"/>
    </row>
    <row r="11" spans="2:263" s="141" customFormat="1" ht="25.15" customHeight="1" x14ac:dyDescent="0.2">
      <c r="B11" s="433"/>
      <c r="C11" s="435" t="s">
        <v>89</v>
      </c>
      <c r="D11" s="145">
        <v>26</v>
      </c>
      <c r="E11" s="145"/>
      <c r="F11" s="145">
        <v>17</v>
      </c>
      <c r="G11" s="145"/>
      <c r="H11" s="145">
        <v>10</v>
      </c>
      <c r="I11" s="145"/>
      <c r="J11" s="145">
        <v>4</v>
      </c>
      <c r="K11" s="145"/>
      <c r="L11" s="145">
        <v>21</v>
      </c>
      <c r="M11" s="145"/>
      <c r="N11" s="145">
        <v>7</v>
      </c>
      <c r="O11" s="145"/>
      <c r="P11" s="145">
        <v>1</v>
      </c>
      <c r="Q11" s="145"/>
      <c r="R11" s="145">
        <v>3</v>
      </c>
      <c r="S11" s="145"/>
      <c r="T11" s="145">
        <v>28059</v>
      </c>
      <c r="U11" s="145"/>
      <c r="V11" s="145">
        <v>22363</v>
      </c>
      <c r="W11" s="145"/>
      <c r="X11" s="145">
        <v>6881</v>
      </c>
      <c r="Y11" s="145"/>
      <c r="Z11" s="145">
        <v>2927</v>
      </c>
      <c r="AA11" s="145"/>
      <c r="AB11" s="145">
        <v>13871</v>
      </c>
      <c r="AC11" s="84"/>
      <c r="AD11" s="145">
        <v>1238</v>
      </c>
      <c r="AE11" s="145"/>
      <c r="AF11" s="145">
        <v>320</v>
      </c>
      <c r="AG11" s="145"/>
      <c r="AH11" s="145">
        <v>6261</v>
      </c>
      <c r="AI11" s="145"/>
      <c r="AJ11" s="145">
        <v>882930</v>
      </c>
      <c r="AK11" s="145"/>
      <c r="AL11" s="145">
        <v>2431328</v>
      </c>
      <c r="AM11" s="145"/>
      <c r="AN11" s="145">
        <v>161469</v>
      </c>
      <c r="AO11" s="145"/>
      <c r="AP11" s="145">
        <v>25760</v>
      </c>
      <c r="AQ11" s="145"/>
      <c r="AR11" s="145">
        <v>169948</v>
      </c>
      <c r="AS11" s="145"/>
      <c r="AT11" s="145">
        <v>15048</v>
      </c>
      <c r="AU11" s="84"/>
      <c r="AV11" s="145">
        <v>2560</v>
      </c>
      <c r="AW11" s="145"/>
      <c r="AX11" s="145">
        <v>57944</v>
      </c>
      <c r="AY11" s="84"/>
      <c r="AZ11" s="147"/>
      <c r="BA11" s="147"/>
      <c r="BB11" s="147"/>
      <c r="BC11" s="147"/>
      <c r="BD11" s="147"/>
      <c r="BE11" s="147"/>
      <c r="BF11" s="147"/>
      <c r="BG11" s="147"/>
      <c r="BH11" s="147"/>
      <c r="BI11" s="148"/>
      <c r="BJ11" s="147"/>
      <c r="BK11" s="147"/>
      <c r="BL11" s="147"/>
      <c r="BM11" s="148"/>
      <c r="BN11" s="147"/>
      <c r="BO11" s="149"/>
      <c r="BP11" s="147"/>
      <c r="BQ11" s="150"/>
    </row>
    <row r="12" spans="2:263" s="141" customFormat="1" ht="25.15" customHeight="1" x14ac:dyDescent="0.2">
      <c r="B12" s="433"/>
      <c r="C12" s="435" t="s">
        <v>109</v>
      </c>
      <c r="D12" s="145">
        <v>6</v>
      </c>
      <c r="E12" s="145"/>
      <c r="F12" s="145">
        <v>8</v>
      </c>
      <c r="G12" s="145"/>
      <c r="H12" s="145">
        <v>2</v>
      </c>
      <c r="I12" s="145"/>
      <c r="J12" s="145">
        <v>1</v>
      </c>
      <c r="K12" s="145"/>
      <c r="L12" s="145">
        <v>0</v>
      </c>
      <c r="M12" s="145"/>
      <c r="N12" s="145">
        <v>12</v>
      </c>
      <c r="O12" s="145"/>
      <c r="P12" s="145">
        <f>14+3+1+1+2</f>
        <v>21</v>
      </c>
      <c r="Q12" s="145"/>
      <c r="R12" s="145">
        <v>22</v>
      </c>
      <c r="S12" s="145"/>
      <c r="T12" s="145">
        <v>3538</v>
      </c>
      <c r="U12" s="145"/>
      <c r="V12" s="145">
        <v>2765</v>
      </c>
      <c r="W12" s="145"/>
      <c r="X12" s="145">
        <v>413</v>
      </c>
      <c r="Y12" s="145"/>
      <c r="Z12" s="145">
        <v>221</v>
      </c>
      <c r="AA12" s="145"/>
      <c r="AB12" s="145">
        <v>0</v>
      </c>
      <c r="AC12" s="84"/>
      <c r="AD12" s="145">
        <v>5168</v>
      </c>
      <c r="AE12" s="145"/>
      <c r="AF12" s="145">
        <f>9872+3640+41+1390+120</f>
        <v>15063</v>
      </c>
      <c r="AG12" s="145"/>
      <c r="AH12" s="145">
        <v>6507</v>
      </c>
      <c r="AI12" s="145"/>
      <c r="AJ12" s="145">
        <v>121448</v>
      </c>
      <c r="AK12" s="145"/>
      <c r="AL12" s="145">
        <v>176971</v>
      </c>
      <c r="AM12" s="145"/>
      <c r="AN12" s="145">
        <v>12904</v>
      </c>
      <c r="AO12" s="145"/>
      <c r="AP12" s="145">
        <v>2652</v>
      </c>
      <c r="AQ12" s="145"/>
      <c r="AR12" s="145">
        <v>0</v>
      </c>
      <c r="AS12" s="145"/>
      <c r="AT12" s="145">
        <v>89216</v>
      </c>
      <c r="AU12" s="84"/>
      <c r="AV12" s="145">
        <f>145104+59640+656+11120+2880</f>
        <v>219400</v>
      </c>
      <c r="AW12" s="145"/>
      <c r="AX12" s="145">
        <v>165832</v>
      </c>
      <c r="AY12" s="84"/>
      <c r="AZ12" s="147"/>
      <c r="BA12" s="147"/>
      <c r="BB12" s="147"/>
      <c r="BC12" s="147"/>
      <c r="BD12" s="147"/>
      <c r="BE12" s="147"/>
      <c r="BF12" s="147"/>
      <c r="BG12" s="147"/>
      <c r="BH12" s="147"/>
      <c r="BI12" s="148"/>
      <c r="BJ12" s="147"/>
      <c r="BK12" s="147"/>
      <c r="BL12" s="147"/>
      <c r="BM12" s="148"/>
      <c r="BN12" s="147"/>
      <c r="BO12" s="149"/>
      <c r="BP12" s="147"/>
      <c r="BQ12" s="150"/>
    </row>
    <row r="13" spans="2:263" s="141" customFormat="1" ht="25.15" customHeight="1" x14ac:dyDescent="0.2">
      <c r="B13" s="433"/>
      <c r="C13" s="435" t="s">
        <v>141</v>
      </c>
      <c r="D13" s="145">
        <v>19</v>
      </c>
      <c r="E13" s="145"/>
      <c r="F13" s="145">
        <v>7</v>
      </c>
      <c r="G13" s="145"/>
      <c r="H13" s="145">
        <v>3</v>
      </c>
      <c r="I13" s="145"/>
      <c r="J13" s="145">
        <v>4</v>
      </c>
      <c r="K13" s="145"/>
      <c r="L13" s="145">
        <v>0</v>
      </c>
      <c r="M13" s="145"/>
      <c r="N13" s="145">
        <v>0</v>
      </c>
      <c r="O13" s="145"/>
      <c r="P13" s="145">
        <v>0</v>
      </c>
      <c r="Q13" s="145"/>
      <c r="R13" s="145">
        <v>0</v>
      </c>
      <c r="S13" s="145"/>
      <c r="T13" s="145">
        <v>1302</v>
      </c>
      <c r="U13" s="145"/>
      <c r="V13" s="145">
        <v>882</v>
      </c>
      <c r="W13" s="145"/>
      <c r="X13" s="145">
        <v>354</v>
      </c>
      <c r="Y13" s="145"/>
      <c r="Z13" s="145">
        <v>280</v>
      </c>
      <c r="AA13" s="145"/>
      <c r="AB13" s="145">
        <v>0</v>
      </c>
      <c r="AC13" s="84"/>
      <c r="AD13" s="145">
        <v>0</v>
      </c>
      <c r="AE13" s="145"/>
      <c r="AF13" s="145">
        <v>0</v>
      </c>
      <c r="AG13" s="145"/>
      <c r="AH13" s="145">
        <v>0</v>
      </c>
      <c r="AI13" s="314"/>
      <c r="AJ13" s="145">
        <v>73249</v>
      </c>
      <c r="AK13" s="145"/>
      <c r="AL13" s="145">
        <v>9947</v>
      </c>
      <c r="AM13" s="145"/>
      <c r="AN13" s="145">
        <v>5984</v>
      </c>
      <c r="AO13" s="145"/>
      <c r="AP13" s="145">
        <v>16416</v>
      </c>
      <c r="AQ13" s="145"/>
      <c r="AR13" s="145">
        <v>0</v>
      </c>
      <c r="AS13" s="145"/>
      <c r="AT13" s="145">
        <v>0</v>
      </c>
      <c r="AU13" s="84"/>
      <c r="AV13" s="145">
        <v>0</v>
      </c>
      <c r="AW13" s="145"/>
      <c r="AX13" s="145">
        <v>0</v>
      </c>
      <c r="AY13" s="84"/>
      <c r="AZ13" s="147"/>
      <c r="BA13" s="147"/>
      <c r="BB13" s="147"/>
      <c r="BC13" s="147"/>
      <c r="BD13" s="147"/>
      <c r="BE13" s="147"/>
      <c r="BF13" s="147"/>
      <c r="BG13" s="147"/>
      <c r="BH13" s="147"/>
      <c r="BI13" s="148"/>
      <c r="BJ13" s="147"/>
      <c r="BK13" s="147"/>
      <c r="BL13" s="147"/>
      <c r="BM13" s="148"/>
      <c r="BN13" s="151"/>
      <c r="BO13" s="149"/>
      <c r="BP13" s="147"/>
      <c r="BQ13" s="150"/>
    </row>
    <row r="14" spans="2:263" s="141" customFormat="1" ht="25.15" customHeight="1" x14ac:dyDescent="0.2">
      <c r="B14" s="433"/>
      <c r="C14" s="435" t="s">
        <v>90</v>
      </c>
      <c r="D14" s="145">
        <v>5</v>
      </c>
      <c r="E14" s="145"/>
      <c r="F14" s="314">
        <v>0</v>
      </c>
      <c r="G14" s="314"/>
      <c r="H14" s="145">
        <v>1</v>
      </c>
      <c r="I14" s="145"/>
      <c r="J14" s="145">
        <v>1</v>
      </c>
      <c r="K14" s="145"/>
      <c r="L14" s="145">
        <v>0</v>
      </c>
      <c r="M14" s="145"/>
      <c r="N14" s="145">
        <v>1</v>
      </c>
      <c r="O14" s="145"/>
      <c r="P14" s="145">
        <v>0</v>
      </c>
      <c r="Q14" s="145"/>
      <c r="R14" s="145">
        <v>0</v>
      </c>
      <c r="S14" s="145"/>
      <c r="T14" s="145">
        <v>293</v>
      </c>
      <c r="U14" s="145"/>
      <c r="V14" s="145">
        <v>0</v>
      </c>
      <c r="W14" s="145"/>
      <c r="X14" s="145">
        <v>30</v>
      </c>
      <c r="Y14" s="145"/>
      <c r="Z14" s="145">
        <v>9</v>
      </c>
      <c r="AA14" s="145"/>
      <c r="AB14" s="145">
        <v>0</v>
      </c>
      <c r="AC14" s="84"/>
      <c r="AD14" s="145">
        <v>28</v>
      </c>
      <c r="AE14" s="145"/>
      <c r="AF14" s="145">
        <v>0</v>
      </c>
      <c r="AG14" s="145"/>
      <c r="AH14" s="145">
        <v>0</v>
      </c>
      <c r="AI14" s="145"/>
      <c r="AJ14" s="145">
        <v>4104</v>
      </c>
      <c r="AK14" s="145"/>
      <c r="AL14" s="145">
        <v>0</v>
      </c>
      <c r="AM14" s="145"/>
      <c r="AN14" s="145">
        <v>256</v>
      </c>
      <c r="AO14" s="145"/>
      <c r="AP14" s="145">
        <v>2448</v>
      </c>
      <c r="AQ14" s="145"/>
      <c r="AR14" s="145">
        <v>0</v>
      </c>
      <c r="AS14" s="145"/>
      <c r="AT14" s="145">
        <v>224</v>
      </c>
      <c r="AU14" s="84"/>
      <c r="AV14" s="145">
        <v>0</v>
      </c>
      <c r="AW14" s="145"/>
      <c r="AX14" s="145">
        <v>0</v>
      </c>
      <c r="AY14" s="84"/>
      <c r="AZ14" s="147"/>
      <c r="BA14" s="147"/>
      <c r="BB14" s="147"/>
      <c r="BC14" s="147"/>
      <c r="BD14" s="147"/>
      <c r="BE14" s="147"/>
      <c r="BF14" s="147"/>
      <c r="BG14" s="147"/>
      <c r="BH14" s="147"/>
      <c r="BI14" s="148"/>
      <c r="BJ14" s="147"/>
      <c r="BK14" s="147"/>
      <c r="BL14" s="147"/>
      <c r="BM14" s="148"/>
      <c r="BN14" s="147"/>
      <c r="BO14" s="149"/>
      <c r="BP14" s="147"/>
      <c r="BQ14" s="150"/>
    </row>
    <row r="15" spans="2:263" s="141" customFormat="1" ht="25.15" customHeight="1" x14ac:dyDescent="0.2">
      <c r="B15" s="433"/>
      <c r="C15" s="435" t="s">
        <v>144</v>
      </c>
      <c r="D15" s="145">
        <v>66</v>
      </c>
      <c r="E15" s="145"/>
      <c r="F15" s="145">
        <v>23</v>
      </c>
      <c r="G15" s="145"/>
      <c r="H15" s="145">
        <v>16</v>
      </c>
      <c r="I15" s="145"/>
      <c r="J15" s="145">
        <v>11</v>
      </c>
      <c r="K15" s="145"/>
      <c r="L15" s="145">
        <v>29</v>
      </c>
      <c r="M15" s="145"/>
      <c r="N15" s="145">
        <v>8</v>
      </c>
      <c r="O15" s="145"/>
      <c r="P15" s="145">
        <v>10</v>
      </c>
      <c r="Q15" s="145"/>
      <c r="R15" s="145">
        <v>15</v>
      </c>
      <c r="S15" s="145"/>
      <c r="T15" s="145">
        <v>37095</v>
      </c>
      <c r="U15" s="145"/>
      <c r="V15" s="145">
        <v>11796</v>
      </c>
      <c r="W15" s="145"/>
      <c r="X15" s="145">
        <v>11758</v>
      </c>
      <c r="Y15" s="145"/>
      <c r="Z15" s="145">
        <v>5628</v>
      </c>
      <c r="AA15" s="145"/>
      <c r="AB15" s="145">
        <v>13784</v>
      </c>
      <c r="AC15" s="84"/>
      <c r="AD15" s="145">
        <v>2745</v>
      </c>
      <c r="AE15" s="145"/>
      <c r="AF15" s="145">
        <f>2778+53+344</f>
        <v>3175</v>
      </c>
      <c r="AG15" s="145"/>
      <c r="AH15" s="145">
        <v>3265</v>
      </c>
      <c r="AI15" s="145"/>
      <c r="AJ15" s="145">
        <v>1375765</v>
      </c>
      <c r="AK15" s="145"/>
      <c r="AL15" s="145">
        <v>181758</v>
      </c>
      <c r="AM15" s="145"/>
      <c r="AN15" s="145">
        <v>349162</v>
      </c>
      <c r="AO15" s="145"/>
      <c r="AP15" s="145">
        <v>458420</v>
      </c>
      <c r="AQ15" s="145"/>
      <c r="AR15" s="145">
        <v>431263</v>
      </c>
      <c r="AS15" s="145"/>
      <c r="AT15" s="145">
        <v>318495</v>
      </c>
      <c r="AU15" s="84"/>
      <c r="AV15" s="145">
        <f>75376+848+2752</f>
        <v>78976</v>
      </c>
      <c r="AW15" s="145"/>
      <c r="AX15" s="145">
        <v>27708</v>
      </c>
      <c r="AY15" s="84"/>
      <c r="AZ15" s="147"/>
      <c r="BA15" s="147"/>
      <c r="BB15" s="147"/>
      <c r="BC15" s="147"/>
      <c r="BD15" s="147"/>
      <c r="BE15" s="147"/>
      <c r="BF15" s="147"/>
      <c r="BG15" s="147"/>
      <c r="BH15" s="147"/>
      <c r="BI15" s="148"/>
      <c r="BJ15" s="147"/>
      <c r="BK15" s="147"/>
      <c r="BL15" s="147"/>
      <c r="BM15" s="148"/>
      <c r="BN15" s="147"/>
      <c r="BO15" s="149"/>
      <c r="BP15" s="147"/>
      <c r="BQ15" s="150"/>
    </row>
    <row r="16" spans="2:263" s="141" customFormat="1" ht="25.15" customHeight="1" x14ac:dyDescent="0.2">
      <c r="B16" s="433"/>
      <c r="C16" s="435" t="s">
        <v>110</v>
      </c>
      <c r="D16" s="145">
        <v>44</v>
      </c>
      <c r="E16" s="145"/>
      <c r="F16" s="145">
        <v>11</v>
      </c>
      <c r="G16" s="145"/>
      <c r="H16" s="145">
        <v>6</v>
      </c>
      <c r="I16" s="145"/>
      <c r="J16" s="145">
        <v>1</v>
      </c>
      <c r="K16" s="145"/>
      <c r="L16" s="145">
        <v>1</v>
      </c>
      <c r="M16" s="145"/>
      <c r="N16" s="145">
        <v>0</v>
      </c>
      <c r="O16" s="145"/>
      <c r="P16" s="145">
        <v>0</v>
      </c>
      <c r="Q16" s="145"/>
      <c r="R16" s="145">
        <v>0</v>
      </c>
      <c r="S16" s="145"/>
      <c r="T16" s="145">
        <v>39546</v>
      </c>
      <c r="U16" s="145"/>
      <c r="V16" s="145">
        <v>8684</v>
      </c>
      <c r="W16" s="145"/>
      <c r="X16" s="145">
        <v>2799</v>
      </c>
      <c r="Y16" s="145"/>
      <c r="Z16" s="145">
        <v>31</v>
      </c>
      <c r="AA16" s="145"/>
      <c r="AB16" s="145">
        <v>520</v>
      </c>
      <c r="AC16" s="84"/>
      <c r="AD16" s="145">
        <v>0</v>
      </c>
      <c r="AE16" s="145"/>
      <c r="AF16" s="145">
        <v>0</v>
      </c>
      <c r="AG16" s="145"/>
      <c r="AH16" s="145">
        <v>0</v>
      </c>
      <c r="AI16" s="145"/>
      <c r="AJ16" s="145">
        <v>2741549</v>
      </c>
      <c r="AK16" s="145"/>
      <c r="AL16" s="145">
        <v>377280</v>
      </c>
      <c r="AM16" s="145"/>
      <c r="AN16" s="145">
        <v>33984</v>
      </c>
      <c r="AO16" s="145"/>
      <c r="AP16" s="145">
        <v>496</v>
      </c>
      <c r="AQ16" s="145"/>
      <c r="AR16" s="145">
        <v>4160</v>
      </c>
      <c r="AS16" s="145"/>
      <c r="AT16" s="145">
        <v>0</v>
      </c>
      <c r="AU16" s="84"/>
      <c r="AV16" s="145">
        <v>0</v>
      </c>
      <c r="AW16" s="145"/>
      <c r="AX16" s="145">
        <v>0</v>
      </c>
      <c r="AY16" s="84"/>
      <c r="AZ16" s="147"/>
      <c r="BA16" s="147"/>
      <c r="BB16" s="147"/>
      <c r="BC16" s="147"/>
      <c r="BD16" s="147"/>
      <c r="BE16" s="147"/>
      <c r="BF16" s="147"/>
      <c r="BG16" s="147"/>
      <c r="BH16" s="147"/>
      <c r="BI16" s="148"/>
      <c r="BJ16" s="147"/>
      <c r="BK16" s="147"/>
      <c r="BL16" s="147"/>
      <c r="BM16" s="148"/>
      <c r="BN16" s="147"/>
      <c r="BO16" s="149"/>
      <c r="BP16" s="147"/>
      <c r="BQ16" s="150"/>
    </row>
    <row r="17" spans="2:69" s="141" customFormat="1" ht="25.15" customHeight="1" x14ac:dyDescent="0.2">
      <c r="B17" s="433"/>
      <c r="C17" s="434" t="s">
        <v>91</v>
      </c>
      <c r="D17" s="145">
        <v>7</v>
      </c>
      <c r="E17" s="145"/>
      <c r="F17" s="314">
        <v>0</v>
      </c>
      <c r="G17" s="314"/>
      <c r="H17" s="145">
        <v>0</v>
      </c>
      <c r="I17" s="145"/>
      <c r="J17" s="145">
        <v>0</v>
      </c>
      <c r="K17" s="145"/>
      <c r="L17" s="145">
        <v>0</v>
      </c>
      <c r="M17" s="145"/>
      <c r="N17" s="145">
        <v>1</v>
      </c>
      <c r="O17" s="145"/>
      <c r="P17" s="145">
        <v>0</v>
      </c>
      <c r="Q17" s="145"/>
      <c r="R17" s="145">
        <v>1</v>
      </c>
      <c r="S17" s="145"/>
      <c r="T17" s="145">
        <v>455</v>
      </c>
      <c r="U17" s="145">
        <v>0</v>
      </c>
      <c r="V17" s="145">
        <v>0</v>
      </c>
      <c r="W17" s="145">
        <v>0</v>
      </c>
      <c r="X17" s="145">
        <v>0</v>
      </c>
      <c r="Y17" s="145"/>
      <c r="Z17" s="145">
        <v>0</v>
      </c>
      <c r="AA17" s="145"/>
      <c r="AB17" s="145">
        <v>0</v>
      </c>
      <c r="AC17" s="84"/>
      <c r="AD17" s="145">
        <v>119</v>
      </c>
      <c r="AE17" s="145"/>
      <c r="AF17" s="145">
        <v>0</v>
      </c>
      <c r="AG17" s="145"/>
      <c r="AH17" s="145">
        <v>6</v>
      </c>
      <c r="AI17" s="145"/>
      <c r="AJ17" s="145">
        <v>53736</v>
      </c>
      <c r="AK17" s="145"/>
      <c r="AL17" s="145">
        <v>0</v>
      </c>
      <c r="AM17" s="145">
        <v>0</v>
      </c>
      <c r="AN17" s="145">
        <v>0</v>
      </c>
      <c r="AO17" s="145">
        <v>0</v>
      </c>
      <c r="AP17" s="145">
        <v>0</v>
      </c>
      <c r="AQ17" s="145">
        <v>0</v>
      </c>
      <c r="AR17" s="145">
        <v>0</v>
      </c>
      <c r="AS17" s="145"/>
      <c r="AT17" s="145">
        <v>4760</v>
      </c>
      <c r="AU17" s="84"/>
      <c r="AV17" s="145">
        <v>0</v>
      </c>
      <c r="AW17" s="145"/>
      <c r="AX17" s="145">
        <v>48</v>
      </c>
      <c r="AY17" s="84"/>
      <c r="AZ17" s="147"/>
      <c r="BA17" s="147"/>
      <c r="BB17" s="147"/>
      <c r="BC17" s="147"/>
      <c r="BD17" s="147"/>
      <c r="BE17" s="147"/>
      <c r="BF17" s="147"/>
      <c r="BG17" s="147"/>
      <c r="BH17" s="147"/>
      <c r="BI17" s="148"/>
      <c r="BJ17" s="147"/>
      <c r="BK17" s="147"/>
      <c r="BL17" s="147"/>
      <c r="BM17" s="148"/>
      <c r="BN17" s="147"/>
      <c r="BO17" s="149"/>
      <c r="BP17" s="147"/>
      <c r="BQ17" s="150"/>
    </row>
    <row r="18" spans="2:69" s="141" customFormat="1" ht="25.15" customHeight="1" x14ac:dyDescent="0.2">
      <c r="B18" s="433"/>
      <c r="C18" s="434" t="s">
        <v>111</v>
      </c>
      <c r="D18" s="314">
        <v>2</v>
      </c>
      <c r="E18" s="314"/>
      <c r="F18" s="314">
        <v>0</v>
      </c>
      <c r="G18" s="314"/>
      <c r="H18" s="314">
        <v>0</v>
      </c>
      <c r="I18" s="314"/>
      <c r="J18" s="314">
        <v>0</v>
      </c>
      <c r="K18" s="314"/>
      <c r="L18" s="314">
        <v>0</v>
      </c>
      <c r="M18" s="314"/>
      <c r="N18" s="314">
        <v>0</v>
      </c>
      <c r="O18" s="145"/>
      <c r="P18" s="145">
        <v>0</v>
      </c>
      <c r="Q18" s="145"/>
      <c r="R18" s="145">
        <v>0</v>
      </c>
      <c r="S18" s="145"/>
      <c r="T18" s="145">
        <v>110</v>
      </c>
      <c r="U18" s="145">
        <v>0</v>
      </c>
      <c r="V18" s="145">
        <v>0</v>
      </c>
      <c r="W18" s="145">
        <v>0</v>
      </c>
      <c r="X18" s="145">
        <v>0</v>
      </c>
      <c r="Y18" s="145"/>
      <c r="Z18" s="145">
        <v>0</v>
      </c>
      <c r="AA18" s="145"/>
      <c r="AB18" s="145">
        <v>0</v>
      </c>
      <c r="AC18" s="84"/>
      <c r="AD18" s="145">
        <v>0</v>
      </c>
      <c r="AE18" s="145"/>
      <c r="AF18" s="145">
        <v>0</v>
      </c>
      <c r="AG18" s="145"/>
      <c r="AH18" s="145">
        <v>0</v>
      </c>
      <c r="AI18" s="145"/>
      <c r="AJ18" s="145">
        <v>2320</v>
      </c>
      <c r="AK18" s="145"/>
      <c r="AL18" s="145">
        <v>0</v>
      </c>
      <c r="AM18" s="145">
        <v>0</v>
      </c>
      <c r="AN18" s="145">
        <v>0</v>
      </c>
      <c r="AO18" s="145">
        <v>0</v>
      </c>
      <c r="AP18" s="145">
        <v>0</v>
      </c>
      <c r="AQ18" s="145">
        <v>0</v>
      </c>
      <c r="AR18" s="145">
        <v>0</v>
      </c>
      <c r="AS18" s="145"/>
      <c r="AT18" s="145">
        <v>0</v>
      </c>
      <c r="AU18" s="84"/>
      <c r="AV18" s="145">
        <v>0</v>
      </c>
      <c r="AW18" s="145"/>
      <c r="AX18" s="145">
        <v>0</v>
      </c>
      <c r="AY18" s="84"/>
      <c r="AZ18" s="147"/>
      <c r="BA18" s="147"/>
      <c r="BB18" s="147"/>
      <c r="BC18" s="147"/>
      <c r="BD18" s="147"/>
      <c r="BE18" s="147"/>
      <c r="BF18" s="147"/>
      <c r="BG18" s="147"/>
      <c r="BH18" s="147"/>
      <c r="BI18" s="148"/>
      <c r="BJ18" s="147"/>
      <c r="BK18" s="147"/>
      <c r="BL18" s="147"/>
      <c r="BM18" s="148"/>
      <c r="BN18" s="147"/>
      <c r="BO18" s="149"/>
      <c r="BP18" s="147"/>
      <c r="BQ18" s="150"/>
    </row>
    <row r="19" spans="2:69" s="141" customFormat="1" ht="25.15" customHeight="1" x14ac:dyDescent="0.2">
      <c r="B19" s="433"/>
      <c r="C19" s="435" t="s">
        <v>19</v>
      </c>
      <c r="D19" s="145">
        <v>22</v>
      </c>
      <c r="E19" s="145"/>
      <c r="F19" s="314">
        <v>7</v>
      </c>
      <c r="G19" s="314"/>
      <c r="H19" s="145">
        <v>3</v>
      </c>
      <c r="I19" s="145"/>
      <c r="J19" s="145">
        <v>2</v>
      </c>
      <c r="K19" s="145"/>
      <c r="L19" s="145">
        <v>0</v>
      </c>
      <c r="M19" s="145"/>
      <c r="N19" s="145">
        <v>3</v>
      </c>
      <c r="O19" s="145"/>
      <c r="P19" s="145">
        <v>0</v>
      </c>
      <c r="Q19" s="145"/>
      <c r="R19" s="145">
        <v>0</v>
      </c>
      <c r="S19" s="145"/>
      <c r="T19" s="145">
        <v>2631</v>
      </c>
      <c r="U19" s="145"/>
      <c r="V19" s="145">
        <v>341</v>
      </c>
      <c r="W19" s="145"/>
      <c r="X19" s="145">
        <v>138</v>
      </c>
      <c r="Y19" s="145"/>
      <c r="Z19" s="145">
        <v>237</v>
      </c>
      <c r="AA19" s="145"/>
      <c r="AB19" s="145">
        <v>0</v>
      </c>
      <c r="AC19" s="84"/>
      <c r="AD19" s="145">
        <v>118</v>
      </c>
      <c r="AE19" s="145"/>
      <c r="AF19" s="145">
        <v>0</v>
      </c>
      <c r="AG19" s="145"/>
      <c r="AH19" s="145">
        <v>0</v>
      </c>
      <c r="AI19" s="145"/>
      <c r="AJ19" s="145">
        <v>88698</v>
      </c>
      <c r="AK19" s="145"/>
      <c r="AL19" s="145">
        <v>8968</v>
      </c>
      <c r="AM19" s="145"/>
      <c r="AN19" s="145">
        <v>2864</v>
      </c>
      <c r="AO19" s="145"/>
      <c r="AP19" s="145">
        <v>20600</v>
      </c>
      <c r="AQ19" s="145"/>
      <c r="AR19" s="145">
        <v>0</v>
      </c>
      <c r="AS19" s="145"/>
      <c r="AT19" s="145">
        <v>2872</v>
      </c>
      <c r="AU19" s="84"/>
      <c r="AV19" s="145">
        <v>0</v>
      </c>
      <c r="AW19" s="145"/>
      <c r="AX19" s="145">
        <v>0</v>
      </c>
      <c r="AY19" s="84"/>
      <c r="AZ19" s="147"/>
      <c r="BA19" s="147"/>
      <c r="BB19" s="147"/>
      <c r="BC19" s="147"/>
      <c r="BD19" s="147"/>
      <c r="BE19" s="147"/>
      <c r="BF19" s="147"/>
      <c r="BG19" s="147"/>
      <c r="BH19" s="147"/>
      <c r="BI19" s="148"/>
      <c r="BJ19" s="147"/>
      <c r="BK19" s="147"/>
      <c r="BL19" s="147"/>
      <c r="BM19" s="148"/>
      <c r="BN19" s="147"/>
      <c r="BO19" s="149"/>
      <c r="BP19" s="147"/>
      <c r="BQ19" s="150"/>
    </row>
    <row r="20" spans="2:69" s="141" customFormat="1" ht="25.15" customHeight="1" x14ac:dyDescent="0.2">
      <c r="B20" s="433"/>
      <c r="C20" s="435" t="s">
        <v>46</v>
      </c>
      <c r="D20" s="145">
        <v>8</v>
      </c>
      <c r="E20" s="145"/>
      <c r="F20" s="314">
        <v>4</v>
      </c>
      <c r="G20" s="314"/>
      <c r="H20" s="145">
        <v>1</v>
      </c>
      <c r="I20" s="145"/>
      <c r="J20" s="145">
        <v>0</v>
      </c>
      <c r="K20" s="145"/>
      <c r="L20" s="145">
        <v>2</v>
      </c>
      <c r="M20" s="145"/>
      <c r="N20" s="145">
        <v>0</v>
      </c>
      <c r="O20" s="145"/>
      <c r="P20" s="145">
        <v>0</v>
      </c>
      <c r="Q20" s="145"/>
      <c r="R20" s="145">
        <v>0</v>
      </c>
      <c r="S20" s="145"/>
      <c r="T20" s="145">
        <v>422</v>
      </c>
      <c r="U20" s="145"/>
      <c r="V20" s="145">
        <v>783</v>
      </c>
      <c r="W20" s="145"/>
      <c r="X20" s="145">
        <v>270</v>
      </c>
      <c r="Y20" s="145"/>
      <c r="Z20" s="145">
        <v>0</v>
      </c>
      <c r="AA20" s="145"/>
      <c r="AB20" s="145">
        <v>217</v>
      </c>
      <c r="AC20" s="84"/>
      <c r="AD20" s="145">
        <v>0</v>
      </c>
      <c r="AE20" s="145"/>
      <c r="AF20" s="145">
        <v>0</v>
      </c>
      <c r="AG20" s="145"/>
      <c r="AH20" s="145">
        <v>0</v>
      </c>
      <c r="AI20" s="145"/>
      <c r="AJ20" s="145">
        <v>19384</v>
      </c>
      <c r="AK20" s="145"/>
      <c r="AL20" s="145">
        <v>9634</v>
      </c>
      <c r="AM20" s="145"/>
      <c r="AN20" s="145">
        <v>4320</v>
      </c>
      <c r="AO20" s="145"/>
      <c r="AP20" s="145" t="s">
        <v>8</v>
      </c>
      <c r="AQ20" s="145"/>
      <c r="AR20" s="145">
        <v>2808</v>
      </c>
      <c r="AS20" s="145"/>
      <c r="AT20" s="145">
        <v>0</v>
      </c>
      <c r="AU20" s="84"/>
      <c r="AV20" s="145">
        <v>0</v>
      </c>
      <c r="AW20" s="145"/>
      <c r="AX20" s="145">
        <v>0</v>
      </c>
      <c r="AY20" s="84"/>
      <c r="AZ20" s="147"/>
      <c r="BA20" s="147"/>
      <c r="BB20" s="147"/>
      <c r="BC20" s="147"/>
      <c r="BD20" s="147"/>
      <c r="BE20" s="147"/>
      <c r="BF20" s="147"/>
      <c r="BG20" s="147"/>
      <c r="BH20" s="147"/>
      <c r="BI20" s="148"/>
      <c r="BJ20" s="147"/>
      <c r="BK20" s="147"/>
      <c r="BL20" s="147"/>
      <c r="BM20" s="148"/>
      <c r="BN20" s="147"/>
      <c r="BO20" s="149"/>
      <c r="BP20" s="147"/>
      <c r="BQ20" s="150"/>
    </row>
    <row r="21" spans="2:69" s="141" customFormat="1" ht="25.15" customHeight="1" x14ac:dyDescent="0.2">
      <c r="B21" s="433"/>
      <c r="C21" s="435" t="s">
        <v>142</v>
      </c>
      <c r="D21" s="145">
        <v>18</v>
      </c>
      <c r="E21" s="145"/>
      <c r="F21" s="145">
        <v>21</v>
      </c>
      <c r="G21" s="145"/>
      <c r="H21" s="145">
        <v>9</v>
      </c>
      <c r="I21" s="145"/>
      <c r="J21" s="145">
        <v>7</v>
      </c>
      <c r="K21" s="145"/>
      <c r="L21" s="145">
        <v>8</v>
      </c>
      <c r="M21" s="145"/>
      <c r="N21" s="145">
        <v>5</v>
      </c>
      <c r="O21" s="145"/>
      <c r="P21" s="145">
        <f>3+1</f>
        <v>4</v>
      </c>
      <c r="Q21" s="145"/>
      <c r="R21" s="145">
        <v>3</v>
      </c>
      <c r="S21" s="145"/>
      <c r="T21" s="145">
        <v>2342</v>
      </c>
      <c r="U21" s="145"/>
      <c r="V21" s="145">
        <v>4232</v>
      </c>
      <c r="W21" s="145"/>
      <c r="X21" s="145">
        <v>791</v>
      </c>
      <c r="Y21" s="145"/>
      <c r="Z21" s="145">
        <v>1056</v>
      </c>
      <c r="AA21" s="145"/>
      <c r="AB21" s="145">
        <v>2680</v>
      </c>
      <c r="AC21" s="84"/>
      <c r="AD21" s="145">
        <v>931</v>
      </c>
      <c r="AE21" s="145"/>
      <c r="AF21" s="145">
        <f>1240+41</f>
        <v>1281</v>
      </c>
      <c r="AG21" s="145"/>
      <c r="AH21" s="145">
        <v>387</v>
      </c>
      <c r="AI21" s="145"/>
      <c r="AJ21" s="145">
        <v>82786</v>
      </c>
      <c r="AK21" s="145"/>
      <c r="AL21" s="145">
        <v>109592</v>
      </c>
      <c r="AM21" s="145"/>
      <c r="AN21" s="145">
        <v>17736</v>
      </c>
      <c r="AO21" s="145"/>
      <c r="AP21" s="145">
        <v>14808</v>
      </c>
      <c r="AQ21" s="145"/>
      <c r="AR21" s="145">
        <v>51576</v>
      </c>
      <c r="AS21" s="145"/>
      <c r="AT21" s="145">
        <v>24312</v>
      </c>
      <c r="AU21" s="84"/>
      <c r="AV21" s="145">
        <f>39680+656</f>
        <v>40336</v>
      </c>
      <c r="AW21" s="145"/>
      <c r="AX21" s="145">
        <v>4392</v>
      </c>
      <c r="AY21" s="84"/>
      <c r="AZ21" s="147"/>
      <c r="BA21" s="147"/>
      <c r="BB21" s="147"/>
      <c r="BC21" s="147"/>
      <c r="BD21" s="147"/>
      <c r="BE21" s="147"/>
      <c r="BF21" s="147"/>
      <c r="BG21" s="147"/>
      <c r="BH21" s="147"/>
      <c r="BI21" s="148"/>
      <c r="BJ21" s="147"/>
      <c r="BK21" s="147"/>
      <c r="BL21" s="147"/>
      <c r="BM21" s="148"/>
      <c r="BN21" s="147"/>
      <c r="BO21" s="149"/>
      <c r="BP21" s="147"/>
      <c r="BQ21" s="150"/>
    </row>
    <row r="22" spans="2:69" s="141" customFormat="1" ht="25.15" customHeight="1" x14ac:dyDescent="0.2">
      <c r="B22" s="433"/>
      <c r="C22" s="435" t="s">
        <v>92</v>
      </c>
      <c r="D22" s="145">
        <v>1</v>
      </c>
      <c r="E22" s="145"/>
      <c r="F22" s="145">
        <v>1</v>
      </c>
      <c r="G22" s="145"/>
      <c r="H22" s="145">
        <v>1</v>
      </c>
      <c r="I22" s="145"/>
      <c r="J22" s="145">
        <v>0</v>
      </c>
      <c r="K22" s="145"/>
      <c r="L22" s="145">
        <v>0</v>
      </c>
      <c r="M22" s="145"/>
      <c r="N22" s="145">
        <v>0</v>
      </c>
      <c r="O22" s="145"/>
      <c r="P22" s="313" t="s">
        <v>8</v>
      </c>
      <c r="Q22" s="145"/>
      <c r="R22" s="313" t="s">
        <v>8</v>
      </c>
      <c r="S22" s="145"/>
      <c r="T22" s="145">
        <v>18187</v>
      </c>
      <c r="U22" s="145"/>
      <c r="V22" s="145">
        <v>40501</v>
      </c>
      <c r="W22" s="145"/>
      <c r="X22" s="145">
        <v>20979</v>
      </c>
      <c r="Y22" s="145">
        <v>0</v>
      </c>
      <c r="Z22" s="145">
        <v>0</v>
      </c>
      <c r="AA22" s="145">
        <v>0</v>
      </c>
      <c r="AB22" s="145">
        <v>0</v>
      </c>
      <c r="AC22" s="145">
        <v>0</v>
      </c>
      <c r="AD22" s="145">
        <v>0</v>
      </c>
      <c r="AE22" s="145"/>
      <c r="AF22" s="145">
        <v>0</v>
      </c>
      <c r="AG22" s="145"/>
      <c r="AH22" s="145">
        <v>0</v>
      </c>
      <c r="AI22" s="145"/>
      <c r="AJ22" s="145">
        <v>145496</v>
      </c>
      <c r="AK22" s="145"/>
      <c r="AL22" s="145">
        <v>324008</v>
      </c>
      <c r="AM22" s="145"/>
      <c r="AN22" s="145">
        <v>167832</v>
      </c>
      <c r="AO22" s="145"/>
      <c r="AP22" s="145">
        <v>0</v>
      </c>
      <c r="AQ22" s="145">
        <v>0</v>
      </c>
      <c r="AR22" s="145">
        <v>0</v>
      </c>
      <c r="AS22" s="145">
        <v>0</v>
      </c>
      <c r="AT22" s="145">
        <v>0</v>
      </c>
      <c r="AU22" s="84"/>
      <c r="AV22" s="145">
        <v>0</v>
      </c>
      <c r="AW22" s="145"/>
      <c r="AX22" s="145">
        <v>0</v>
      </c>
      <c r="AY22" s="84"/>
      <c r="AZ22" s="147"/>
      <c r="BA22" s="147"/>
      <c r="BB22" s="147"/>
      <c r="BC22" s="147"/>
      <c r="BD22" s="147"/>
      <c r="BE22" s="147"/>
      <c r="BF22" s="147"/>
      <c r="BG22" s="147"/>
      <c r="BH22" s="147"/>
      <c r="BI22" s="148"/>
      <c r="BJ22" s="147"/>
      <c r="BK22" s="147"/>
      <c r="BL22" s="147"/>
      <c r="BM22" s="148"/>
      <c r="BN22" s="147"/>
      <c r="BO22" s="149"/>
      <c r="BP22" s="147"/>
      <c r="BQ22" s="150"/>
    </row>
    <row r="23" spans="2:69" ht="30" customHeight="1" x14ac:dyDescent="0.2">
      <c r="B23" s="439"/>
      <c r="C23" s="380" t="s">
        <v>6</v>
      </c>
      <c r="D23" s="454">
        <f>SUM(D7:D22)</f>
        <v>613</v>
      </c>
      <c r="E23" s="454"/>
      <c r="F23" s="454">
        <f>SUM(F7:F22)</f>
        <v>315</v>
      </c>
      <c r="G23" s="454"/>
      <c r="H23" s="454">
        <f>SUM(H7:H22)</f>
        <v>219</v>
      </c>
      <c r="I23" s="454"/>
      <c r="J23" s="454">
        <f>SUM(J7:J22)</f>
        <v>151</v>
      </c>
      <c r="K23" s="454"/>
      <c r="L23" s="454">
        <f>SUM(L7:L22)</f>
        <v>168</v>
      </c>
      <c r="M23" s="454"/>
      <c r="N23" s="454">
        <f>SUM(N7:N22)</f>
        <v>102</v>
      </c>
      <c r="O23" s="455"/>
      <c r="P23" s="454">
        <f>SUM(P7:P22)</f>
        <v>77</v>
      </c>
      <c r="Q23" s="455"/>
      <c r="R23" s="458">
        <f>SUM(R7:R22)</f>
        <v>66</v>
      </c>
      <c r="S23" s="439"/>
      <c r="T23" s="454">
        <f>SUM(T7:T22)</f>
        <v>258234</v>
      </c>
      <c r="U23" s="455"/>
      <c r="V23" s="454">
        <f>SUM(V7:V22)</f>
        <v>180728</v>
      </c>
      <c r="W23" s="455"/>
      <c r="X23" s="454">
        <f>SUM(X7:X22)</f>
        <v>114656</v>
      </c>
      <c r="Y23" s="455"/>
      <c r="Z23" s="454">
        <f>SUM(Z7:Z22)</f>
        <v>41474</v>
      </c>
      <c r="AA23" s="455"/>
      <c r="AB23" s="454">
        <f>SUM(AB7:AB22)</f>
        <v>62940</v>
      </c>
      <c r="AC23" s="439"/>
      <c r="AD23" s="454">
        <f>SUM(AD7:AD22)</f>
        <v>28182</v>
      </c>
      <c r="AE23" s="455"/>
      <c r="AF23" s="454">
        <f>SUM(AF7:AF22)</f>
        <v>36242</v>
      </c>
      <c r="AG23" s="439"/>
      <c r="AH23" s="454">
        <f>SUM(AH7:AH22)</f>
        <v>19196</v>
      </c>
      <c r="AI23" s="458"/>
      <c r="AJ23" s="454">
        <f>SUM(AJ7:AJ22)</f>
        <v>15067880</v>
      </c>
      <c r="AK23" s="455"/>
      <c r="AL23" s="454">
        <f>SUM(AL7:AL22)</f>
        <v>8880886</v>
      </c>
      <c r="AM23" s="455"/>
      <c r="AN23" s="454">
        <f>SUM(AN7:AN22)</f>
        <v>2319379</v>
      </c>
      <c r="AO23" s="455"/>
      <c r="AP23" s="454">
        <f>SUM(AP7:AP22)</f>
        <v>2167764</v>
      </c>
      <c r="AQ23" s="455"/>
      <c r="AR23" s="454">
        <f>SUM(AR7:AR22)</f>
        <v>1936647</v>
      </c>
      <c r="AS23" s="455"/>
      <c r="AT23" s="454">
        <f>SUM(AT7:AT22)</f>
        <v>1048753</v>
      </c>
      <c r="AU23" s="439"/>
      <c r="AV23" s="454">
        <f>SUM(AV7:AV22)</f>
        <v>1399886</v>
      </c>
      <c r="AW23" s="455"/>
      <c r="AX23" s="454">
        <f>SUM(AX7:AX22)</f>
        <v>319414</v>
      </c>
      <c r="AY23" s="439"/>
      <c r="AZ23" s="152"/>
      <c r="BA23" s="153"/>
      <c r="BB23" s="152"/>
      <c r="BC23" s="153"/>
      <c r="BD23" s="152"/>
      <c r="BE23" s="153"/>
      <c r="BF23" s="152"/>
      <c r="BG23" s="153"/>
      <c r="BH23" s="152"/>
      <c r="BI23" s="154"/>
      <c r="BJ23" s="152"/>
      <c r="BK23" s="153"/>
      <c r="BL23" s="152"/>
      <c r="BM23" s="154"/>
      <c r="BN23" s="152"/>
      <c r="BO23" s="153"/>
      <c r="BP23" s="152"/>
      <c r="BQ23" s="154"/>
    </row>
    <row r="24" spans="2:69" s="29" customFormat="1" ht="25.15" customHeight="1" x14ac:dyDescent="0.2">
      <c r="B24" s="154"/>
      <c r="C24" s="155"/>
      <c r="D24" s="152"/>
      <c r="E24" s="152"/>
      <c r="F24" s="152"/>
      <c r="G24" s="152"/>
      <c r="H24" s="152"/>
      <c r="I24" s="152"/>
      <c r="J24" s="152"/>
      <c r="K24" s="152"/>
      <c r="L24" s="152"/>
      <c r="M24" s="152"/>
      <c r="N24" s="152"/>
      <c r="O24" s="153"/>
      <c r="P24" s="153"/>
      <c r="Q24" s="153"/>
      <c r="R24" s="152"/>
      <c r="S24" s="153"/>
      <c r="T24" s="152"/>
      <c r="U24" s="154"/>
      <c r="V24" s="152"/>
      <c r="W24" s="152"/>
      <c r="X24" s="152"/>
      <c r="Y24" s="153"/>
      <c r="Z24" s="152"/>
      <c r="AA24" s="153"/>
      <c r="AB24" s="152"/>
      <c r="AC24" s="153"/>
      <c r="AD24" s="152"/>
      <c r="AE24" s="153"/>
      <c r="AF24" s="153"/>
      <c r="AG24" s="153"/>
      <c r="AH24" s="152"/>
      <c r="AI24" s="153"/>
      <c r="AJ24" s="152"/>
      <c r="AK24" s="154"/>
      <c r="AL24" s="152"/>
      <c r="AM24" s="153"/>
      <c r="AN24" s="152"/>
      <c r="AO24" s="154"/>
      <c r="AP24" s="152"/>
      <c r="AQ24" s="152"/>
      <c r="AR24" s="152"/>
      <c r="AS24" s="154"/>
      <c r="AT24" s="152"/>
      <c r="AU24" s="154"/>
      <c r="AV24" s="154"/>
      <c r="AW24" s="154"/>
      <c r="AX24" s="152"/>
      <c r="AY24" s="153"/>
      <c r="AZ24" s="152"/>
      <c r="BA24" s="153"/>
      <c r="BB24" s="152"/>
      <c r="BC24" s="153"/>
      <c r="BD24" s="152"/>
      <c r="BE24" s="153"/>
      <c r="BF24" s="152"/>
      <c r="BG24" s="153"/>
      <c r="BH24" s="152"/>
      <c r="BI24" s="154"/>
      <c r="BJ24" s="152"/>
      <c r="BK24" s="153"/>
      <c r="BL24" s="152"/>
      <c r="BM24" s="154"/>
      <c r="BN24" s="152"/>
      <c r="BO24" s="153"/>
      <c r="BP24" s="152"/>
      <c r="BQ24" s="154"/>
    </row>
    <row r="25" spans="2:69" s="21" customFormat="1" ht="25.15" customHeight="1" x14ac:dyDescent="0.2">
      <c r="B25" s="708" t="s">
        <v>123</v>
      </c>
      <c r="C25" s="723"/>
      <c r="D25" s="710" t="s">
        <v>2</v>
      </c>
      <c r="E25" s="711"/>
      <c r="F25" s="711"/>
      <c r="G25" s="711"/>
      <c r="H25" s="711"/>
      <c r="I25" s="711"/>
      <c r="J25" s="711"/>
      <c r="K25" s="711"/>
      <c r="L25" s="711"/>
      <c r="M25" s="711"/>
      <c r="N25" s="711"/>
      <c r="O25" s="711"/>
      <c r="P25" s="711"/>
      <c r="Q25" s="711"/>
      <c r="R25" s="711"/>
      <c r="S25" s="711"/>
      <c r="T25" s="710" t="s">
        <v>15</v>
      </c>
      <c r="U25" s="711"/>
      <c r="V25" s="711"/>
      <c r="W25" s="711"/>
      <c r="X25" s="711"/>
      <c r="Y25" s="711"/>
      <c r="Z25" s="711"/>
      <c r="AA25" s="711"/>
      <c r="AB25" s="711"/>
      <c r="AC25" s="711"/>
      <c r="AD25" s="711"/>
      <c r="AE25" s="711"/>
      <c r="AF25" s="711"/>
      <c r="AG25" s="711"/>
      <c r="AH25" s="711"/>
      <c r="AI25" s="711"/>
      <c r="AJ25" s="710" t="s">
        <v>12</v>
      </c>
      <c r="AK25" s="711"/>
      <c r="AL25" s="711"/>
      <c r="AM25" s="711"/>
      <c r="AN25" s="711"/>
      <c r="AO25" s="711"/>
      <c r="AP25" s="711"/>
      <c r="AQ25" s="711"/>
      <c r="AR25" s="711"/>
      <c r="AS25" s="711"/>
      <c r="AT25" s="711"/>
      <c r="AU25" s="711"/>
      <c r="AV25" s="711"/>
      <c r="AW25" s="711"/>
      <c r="AX25" s="711"/>
      <c r="AY25" s="711"/>
      <c r="AZ25" s="144"/>
      <c r="BA25" s="144"/>
      <c r="BB25" s="144"/>
      <c r="BC25" s="144"/>
      <c r="BD25" s="144"/>
      <c r="BE25" s="144"/>
      <c r="BF25" s="144"/>
      <c r="BG25" s="144"/>
      <c r="BH25" s="144"/>
      <c r="BI25" s="144"/>
      <c r="BJ25" s="144"/>
      <c r="BK25" s="144"/>
      <c r="BL25" s="144"/>
      <c r="BM25" s="144"/>
      <c r="BN25" s="144"/>
      <c r="BO25" s="144"/>
      <c r="BP25" s="144"/>
      <c r="BQ25" s="144"/>
    </row>
    <row r="26" spans="2:69" s="21" customFormat="1" ht="25.15" customHeight="1" x14ac:dyDescent="0.2">
      <c r="B26" s="708"/>
      <c r="C26" s="723"/>
      <c r="D26" s="318">
        <v>1998</v>
      </c>
      <c r="E26" s="319"/>
      <c r="F26" s="319">
        <v>1999</v>
      </c>
      <c r="G26" s="319"/>
      <c r="H26" s="319">
        <v>2000</v>
      </c>
      <c r="I26" s="319"/>
      <c r="J26" s="319">
        <v>2001</v>
      </c>
      <c r="K26" s="319"/>
      <c r="L26" s="717">
        <v>2002</v>
      </c>
      <c r="M26" s="717"/>
      <c r="N26" s="717">
        <v>2003</v>
      </c>
      <c r="O26" s="717"/>
      <c r="P26" s="717">
        <v>2004</v>
      </c>
      <c r="Q26" s="717"/>
      <c r="R26" s="717">
        <v>2005</v>
      </c>
      <c r="S26" s="717"/>
      <c r="T26" s="318">
        <v>1998</v>
      </c>
      <c r="U26" s="319"/>
      <c r="V26" s="319">
        <v>1999</v>
      </c>
      <c r="W26" s="319"/>
      <c r="X26" s="319">
        <v>2000</v>
      </c>
      <c r="Y26" s="319"/>
      <c r="Z26" s="319">
        <v>2001</v>
      </c>
      <c r="AA26" s="319"/>
      <c r="AB26" s="717">
        <v>2002</v>
      </c>
      <c r="AC26" s="717"/>
      <c r="AD26" s="717">
        <v>2003</v>
      </c>
      <c r="AE26" s="717"/>
      <c r="AF26" s="717">
        <v>2004</v>
      </c>
      <c r="AG26" s="717"/>
      <c r="AH26" s="717">
        <v>2005</v>
      </c>
      <c r="AI26" s="717"/>
      <c r="AJ26" s="318">
        <v>1998</v>
      </c>
      <c r="AK26" s="319"/>
      <c r="AL26" s="319">
        <v>1999</v>
      </c>
      <c r="AM26" s="319"/>
      <c r="AN26" s="319">
        <v>2000</v>
      </c>
      <c r="AO26" s="319"/>
      <c r="AP26" s="319">
        <v>2001</v>
      </c>
      <c r="AQ26" s="319"/>
      <c r="AR26" s="717">
        <v>2002</v>
      </c>
      <c r="AS26" s="717"/>
      <c r="AT26" s="717">
        <v>2003</v>
      </c>
      <c r="AU26" s="717"/>
      <c r="AV26" s="717">
        <v>2004</v>
      </c>
      <c r="AW26" s="717"/>
      <c r="AX26" s="717">
        <v>2005</v>
      </c>
      <c r="AY26" s="717"/>
      <c r="AZ26" s="804"/>
      <c r="BA26" s="804"/>
      <c r="BB26" s="804"/>
      <c r="BC26" s="804"/>
      <c r="BD26" s="804"/>
      <c r="BE26" s="804"/>
      <c r="BF26" s="804"/>
      <c r="BG26" s="804"/>
      <c r="BH26" s="804"/>
      <c r="BI26" s="804"/>
      <c r="BJ26" s="804"/>
      <c r="BK26" s="804"/>
      <c r="BL26" s="804"/>
      <c r="BM26" s="804"/>
      <c r="BN26" s="804"/>
      <c r="BO26" s="804"/>
      <c r="BP26" s="804"/>
      <c r="BQ26" s="804"/>
    </row>
    <row r="27" spans="2:69" s="141" customFormat="1" ht="25.15" customHeight="1" x14ac:dyDescent="0.2">
      <c r="B27" s="433"/>
      <c r="C27" s="434" t="s">
        <v>88</v>
      </c>
      <c r="D27" s="145">
        <v>0</v>
      </c>
      <c r="E27" s="145"/>
      <c r="F27" s="145">
        <v>1</v>
      </c>
      <c r="G27" s="145"/>
      <c r="H27" s="145">
        <v>0</v>
      </c>
      <c r="I27" s="145"/>
      <c r="J27" s="84">
        <v>2</v>
      </c>
      <c r="K27" s="84"/>
      <c r="L27" s="84">
        <v>1</v>
      </c>
      <c r="M27" s="84"/>
      <c r="N27" s="145">
        <v>2</v>
      </c>
      <c r="O27" s="84"/>
      <c r="P27" s="84">
        <v>1</v>
      </c>
      <c r="Q27" s="84"/>
      <c r="R27" s="145">
        <v>0</v>
      </c>
      <c r="S27" s="84"/>
      <c r="T27" s="145">
        <v>0</v>
      </c>
      <c r="V27" s="145">
        <v>52</v>
      </c>
      <c r="X27" s="145">
        <v>0</v>
      </c>
      <c r="Y27" s="145"/>
      <c r="Z27" s="156">
        <v>1303</v>
      </c>
      <c r="AA27" s="84"/>
      <c r="AB27" s="145">
        <v>67</v>
      </c>
      <c r="AC27" s="84"/>
      <c r="AD27" s="145">
        <v>400</v>
      </c>
      <c r="AE27" s="84"/>
      <c r="AF27" s="145">
        <v>139</v>
      </c>
      <c r="AG27" s="84"/>
      <c r="AH27" s="145">
        <v>0</v>
      </c>
      <c r="AI27" s="84"/>
      <c r="AJ27" s="145">
        <v>0</v>
      </c>
      <c r="AK27" s="320"/>
      <c r="AL27" s="145">
        <v>7488</v>
      </c>
      <c r="AN27" s="145">
        <v>0</v>
      </c>
      <c r="AO27" s="84"/>
      <c r="AP27" s="156">
        <v>207616</v>
      </c>
      <c r="AQ27" s="145"/>
      <c r="AR27" s="84">
        <v>536</v>
      </c>
      <c r="AS27" s="84"/>
      <c r="AT27" s="157">
        <v>2000</v>
      </c>
      <c r="AU27" s="84"/>
      <c r="AV27" s="145">
        <v>1112</v>
      </c>
      <c r="AW27" s="84"/>
      <c r="AX27" s="145">
        <v>0</v>
      </c>
      <c r="AY27" s="84"/>
      <c r="AZ27" s="147"/>
      <c r="BA27" s="147"/>
      <c r="BB27" s="147"/>
      <c r="BC27" s="147"/>
      <c r="BD27" s="147"/>
      <c r="BE27" s="147"/>
      <c r="BF27" s="147"/>
      <c r="BG27" s="147"/>
      <c r="BH27" s="147"/>
      <c r="BI27" s="148"/>
      <c r="BJ27" s="147"/>
      <c r="BK27" s="147"/>
      <c r="BL27" s="147"/>
      <c r="BM27" s="148"/>
      <c r="BN27" s="147"/>
      <c r="BO27" s="149"/>
      <c r="BP27" s="147"/>
      <c r="BQ27" s="150"/>
    </row>
    <row r="28" spans="2:69" s="141" customFormat="1" ht="25.15" customHeight="1" x14ac:dyDescent="0.2">
      <c r="B28" s="433"/>
      <c r="C28" s="435" t="s">
        <v>18</v>
      </c>
      <c r="D28" s="145">
        <v>0</v>
      </c>
      <c r="E28" s="145"/>
      <c r="F28" s="145">
        <v>3</v>
      </c>
      <c r="G28" s="145"/>
      <c r="H28" s="145">
        <v>0</v>
      </c>
      <c r="I28" s="145"/>
      <c r="J28" s="313" t="s">
        <v>8</v>
      </c>
      <c r="K28" s="313"/>
      <c r="L28" s="313" t="s">
        <v>8</v>
      </c>
      <c r="M28" s="313"/>
      <c r="N28" s="313" t="s">
        <v>8</v>
      </c>
      <c r="O28" s="84"/>
      <c r="P28" s="145">
        <v>0</v>
      </c>
      <c r="Q28" s="84"/>
      <c r="R28" s="145">
        <v>0</v>
      </c>
      <c r="S28" s="84"/>
      <c r="T28" s="145">
        <v>0</v>
      </c>
      <c r="V28" s="145">
        <v>912</v>
      </c>
      <c r="X28" s="145">
        <v>0</v>
      </c>
      <c r="Y28" s="145"/>
      <c r="Z28" s="157" t="s">
        <v>8</v>
      </c>
      <c r="AA28" s="84"/>
      <c r="AB28" s="145">
        <v>0</v>
      </c>
      <c r="AC28" s="84"/>
      <c r="AD28" s="313" t="s">
        <v>8</v>
      </c>
      <c r="AE28" s="84"/>
      <c r="AF28" s="145">
        <v>0</v>
      </c>
      <c r="AG28" s="84"/>
      <c r="AH28" s="145">
        <v>0</v>
      </c>
      <c r="AI28" s="84"/>
      <c r="AJ28" s="145">
        <v>0</v>
      </c>
      <c r="AK28" s="320"/>
      <c r="AL28" s="145">
        <v>8448</v>
      </c>
      <c r="AN28" s="145">
        <v>0</v>
      </c>
      <c r="AO28" s="84"/>
      <c r="AP28" s="157" t="s">
        <v>8</v>
      </c>
      <c r="AQ28" s="145"/>
      <c r="AR28" s="157" t="s">
        <v>8</v>
      </c>
      <c r="AS28" s="157"/>
      <c r="AT28" s="157" t="s">
        <v>8</v>
      </c>
      <c r="AU28" s="84"/>
      <c r="AV28" s="145">
        <v>0</v>
      </c>
      <c r="AW28" s="84"/>
      <c r="AX28" s="145">
        <v>0</v>
      </c>
      <c r="AY28" s="84"/>
      <c r="AZ28" s="147"/>
      <c r="BA28" s="147"/>
      <c r="BB28" s="147"/>
      <c r="BC28" s="147"/>
      <c r="BD28" s="147"/>
      <c r="BE28" s="147"/>
      <c r="BF28" s="147"/>
      <c r="BG28" s="147"/>
      <c r="BH28" s="147"/>
      <c r="BI28" s="148"/>
      <c r="BJ28" s="147"/>
      <c r="BK28" s="147"/>
      <c r="BL28" s="147"/>
      <c r="BM28" s="148"/>
      <c r="BN28" s="147"/>
      <c r="BO28" s="149"/>
      <c r="BP28" s="147"/>
      <c r="BQ28" s="150"/>
    </row>
    <row r="29" spans="2:69" s="141" customFormat="1" ht="25.15" customHeight="1" x14ac:dyDescent="0.2">
      <c r="B29" s="433"/>
      <c r="C29" s="435" t="s">
        <v>108</v>
      </c>
      <c r="D29" s="145">
        <v>12</v>
      </c>
      <c r="E29" s="145"/>
      <c r="F29" s="145">
        <v>12</v>
      </c>
      <c r="G29" s="145"/>
      <c r="H29" s="145">
        <v>9</v>
      </c>
      <c r="I29" s="145"/>
      <c r="J29" s="84">
        <v>15</v>
      </c>
      <c r="K29" s="84"/>
      <c r="L29" s="84">
        <v>20</v>
      </c>
      <c r="M29" s="84"/>
      <c r="N29" s="84">
        <v>4</v>
      </c>
      <c r="O29" s="84"/>
      <c r="P29" s="145">
        <v>21</v>
      </c>
      <c r="Q29" s="84"/>
      <c r="R29" s="145">
        <v>12</v>
      </c>
      <c r="S29" s="84"/>
      <c r="T29" s="145">
        <v>2578</v>
      </c>
      <c r="V29" s="145">
        <v>3369</v>
      </c>
      <c r="X29" s="145">
        <v>1323</v>
      </c>
      <c r="Y29" s="145"/>
      <c r="Z29" s="156">
        <v>2121</v>
      </c>
      <c r="AA29" s="84"/>
      <c r="AB29" s="145">
        <v>7712</v>
      </c>
      <c r="AC29" s="84"/>
      <c r="AD29" s="145">
        <v>1554</v>
      </c>
      <c r="AE29" s="84"/>
      <c r="AF29" s="145">
        <v>9020</v>
      </c>
      <c r="AG29" s="84"/>
      <c r="AH29" s="145">
        <v>3475</v>
      </c>
      <c r="AI29" s="84"/>
      <c r="AJ29" s="145">
        <v>76288</v>
      </c>
      <c r="AK29" s="320"/>
      <c r="AL29" s="145">
        <v>63309</v>
      </c>
      <c r="AN29" s="145">
        <v>18576</v>
      </c>
      <c r="AO29" s="84"/>
      <c r="AP29" s="156">
        <v>70008</v>
      </c>
      <c r="AQ29" s="145"/>
      <c r="AR29" s="157">
        <v>376768</v>
      </c>
      <c r="AS29" s="157"/>
      <c r="AT29" s="157">
        <v>43200</v>
      </c>
      <c r="AU29" s="84"/>
      <c r="AV29" s="145">
        <v>179184</v>
      </c>
      <c r="AW29" s="84"/>
      <c r="AX29" s="145">
        <v>118808</v>
      </c>
      <c r="AY29" s="84"/>
      <c r="AZ29" s="147"/>
      <c r="BA29" s="147"/>
      <c r="BB29" s="147"/>
      <c r="BC29" s="147"/>
      <c r="BD29" s="147"/>
      <c r="BE29" s="147"/>
      <c r="BF29" s="147"/>
      <c r="BG29" s="147"/>
      <c r="BH29" s="147"/>
      <c r="BI29" s="148"/>
      <c r="BJ29" s="147"/>
      <c r="BK29" s="147"/>
      <c r="BL29" s="147"/>
      <c r="BM29" s="148"/>
      <c r="BN29" s="147"/>
      <c r="BO29" s="149"/>
      <c r="BP29" s="147"/>
      <c r="BQ29" s="150"/>
    </row>
    <row r="30" spans="2:69" s="141" customFormat="1" ht="25.15" customHeight="1" x14ac:dyDescent="0.2">
      <c r="B30" s="433"/>
      <c r="C30" s="435" t="s">
        <v>131</v>
      </c>
      <c r="D30" s="145">
        <v>15</v>
      </c>
      <c r="E30" s="145"/>
      <c r="F30" s="145">
        <v>17</v>
      </c>
      <c r="G30" s="145"/>
      <c r="H30" s="145">
        <v>7</v>
      </c>
      <c r="I30" s="145"/>
      <c r="J30" s="84">
        <v>11</v>
      </c>
      <c r="K30" s="84"/>
      <c r="L30" s="84">
        <v>10</v>
      </c>
      <c r="M30" s="84"/>
      <c r="N30" s="84">
        <v>21</v>
      </c>
      <c r="O30" s="84"/>
      <c r="P30" s="145">
        <v>26</v>
      </c>
      <c r="Q30" s="84"/>
      <c r="R30" s="145">
        <v>7</v>
      </c>
      <c r="S30" s="84"/>
      <c r="T30" s="145">
        <v>1698</v>
      </c>
      <c r="V30" s="145">
        <v>1690</v>
      </c>
      <c r="X30" s="145">
        <v>1220</v>
      </c>
      <c r="Y30" s="145"/>
      <c r="Z30" s="156">
        <v>6128</v>
      </c>
      <c r="AA30" s="84"/>
      <c r="AB30" s="145">
        <v>3583</v>
      </c>
      <c r="AC30" s="84"/>
      <c r="AD30" s="145">
        <v>9099</v>
      </c>
      <c r="AE30" s="84"/>
      <c r="AF30" s="145">
        <v>7208</v>
      </c>
      <c r="AG30" s="84"/>
      <c r="AH30" s="145">
        <v>4684</v>
      </c>
      <c r="AI30" s="84"/>
      <c r="AJ30" s="145">
        <v>110704</v>
      </c>
      <c r="AK30" s="320"/>
      <c r="AL30" s="145">
        <v>18647</v>
      </c>
      <c r="AN30" s="145">
        <v>19327</v>
      </c>
      <c r="AO30" s="84"/>
      <c r="AP30" s="156">
        <v>175626</v>
      </c>
      <c r="AQ30" s="145"/>
      <c r="AR30" s="157">
        <v>135872</v>
      </c>
      <c r="AS30" s="157"/>
      <c r="AT30" s="157">
        <v>163368</v>
      </c>
      <c r="AU30" s="84"/>
      <c r="AV30" s="145">
        <v>283040</v>
      </c>
      <c r="AW30" s="84"/>
      <c r="AX30" s="145">
        <v>56712</v>
      </c>
      <c r="AY30" s="84"/>
      <c r="AZ30" s="147"/>
      <c r="BA30" s="147"/>
      <c r="BB30" s="147"/>
      <c r="BC30" s="147"/>
      <c r="BD30" s="147"/>
      <c r="BE30" s="147"/>
      <c r="BF30" s="147"/>
      <c r="BG30" s="147"/>
      <c r="BH30" s="147"/>
      <c r="BI30" s="148"/>
      <c r="BJ30" s="147"/>
      <c r="BK30" s="147"/>
      <c r="BL30" s="147"/>
      <c r="BM30" s="148"/>
      <c r="BN30" s="147"/>
      <c r="BO30" s="149"/>
      <c r="BP30" s="147"/>
      <c r="BQ30" s="150"/>
    </row>
    <row r="31" spans="2:69" s="141" customFormat="1" ht="25.15" customHeight="1" x14ac:dyDescent="0.2">
      <c r="B31" s="433"/>
      <c r="C31" s="435" t="s">
        <v>89</v>
      </c>
      <c r="D31" s="145">
        <v>2</v>
      </c>
      <c r="E31" s="145"/>
      <c r="F31" s="145">
        <v>1</v>
      </c>
      <c r="G31" s="145"/>
      <c r="H31" s="145">
        <v>5</v>
      </c>
      <c r="I31" s="145"/>
      <c r="J31" s="315" t="s">
        <v>8</v>
      </c>
      <c r="K31" s="84"/>
      <c r="L31" s="84">
        <v>4</v>
      </c>
      <c r="M31" s="84"/>
      <c r="N31" s="84">
        <v>8</v>
      </c>
      <c r="O31" s="84"/>
      <c r="P31" s="145">
        <v>16</v>
      </c>
      <c r="Q31" s="84"/>
      <c r="R31" s="145">
        <v>14</v>
      </c>
      <c r="S31" s="84"/>
      <c r="T31" s="145">
        <v>52</v>
      </c>
      <c r="V31" s="145">
        <v>31</v>
      </c>
      <c r="X31" s="145">
        <v>514</v>
      </c>
      <c r="Y31" s="145"/>
      <c r="Z31" s="158" t="s">
        <v>8</v>
      </c>
      <c r="AA31" s="84"/>
      <c r="AB31" s="145">
        <v>1724</v>
      </c>
      <c r="AC31" s="84"/>
      <c r="AD31" s="145">
        <v>768</v>
      </c>
      <c r="AE31" s="84"/>
      <c r="AF31" s="145">
        <v>3761</v>
      </c>
      <c r="AG31" s="84"/>
      <c r="AH31" s="145">
        <v>2387</v>
      </c>
      <c r="AI31" s="84"/>
      <c r="AJ31" s="145">
        <v>956</v>
      </c>
      <c r="AK31" s="320"/>
      <c r="AL31" s="145">
        <v>188</v>
      </c>
      <c r="AN31" s="145">
        <v>4900</v>
      </c>
      <c r="AO31" s="84"/>
      <c r="AP31" s="158" t="s">
        <v>8</v>
      </c>
      <c r="AQ31" s="145"/>
      <c r="AR31" s="157">
        <v>13792</v>
      </c>
      <c r="AS31" s="157"/>
      <c r="AT31" s="157">
        <v>4774</v>
      </c>
      <c r="AU31" s="84"/>
      <c r="AV31" s="145">
        <v>31848</v>
      </c>
      <c r="AW31" s="84"/>
      <c r="AX31" s="145">
        <v>22064</v>
      </c>
      <c r="AY31" s="84"/>
      <c r="AZ31" s="147"/>
      <c r="BA31" s="147"/>
      <c r="BB31" s="147"/>
      <c r="BC31" s="147"/>
      <c r="BD31" s="147"/>
      <c r="BE31" s="147"/>
      <c r="BF31" s="147"/>
      <c r="BG31" s="147"/>
      <c r="BH31" s="147"/>
      <c r="BI31" s="148"/>
      <c r="BJ31" s="147"/>
      <c r="BK31" s="147"/>
      <c r="BL31" s="147"/>
      <c r="BM31" s="148"/>
      <c r="BN31" s="147"/>
      <c r="BO31" s="149"/>
      <c r="BP31" s="147"/>
      <c r="BQ31" s="150"/>
    </row>
    <row r="32" spans="2:69" s="141" customFormat="1" ht="25.15" customHeight="1" x14ac:dyDescent="0.2">
      <c r="B32" s="433"/>
      <c r="C32" s="435" t="s">
        <v>109</v>
      </c>
      <c r="D32" s="145">
        <v>14</v>
      </c>
      <c r="E32" s="145"/>
      <c r="F32" s="145">
        <v>13</v>
      </c>
      <c r="G32" s="145"/>
      <c r="H32" s="145">
        <v>6</v>
      </c>
      <c r="I32" s="145"/>
      <c r="J32" s="84">
        <v>9</v>
      </c>
      <c r="K32" s="84"/>
      <c r="L32" s="84">
        <v>4</v>
      </c>
      <c r="M32" s="84"/>
      <c r="N32" s="84">
        <v>6</v>
      </c>
      <c r="O32" s="84"/>
      <c r="P32" s="145">
        <v>5</v>
      </c>
      <c r="Q32" s="84"/>
      <c r="R32" s="145">
        <v>4</v>
      </c>
      <c r="S32" s="84"/>
      <c r="T32" s="145">
        <v>10075</v>
      </c>
      <c r="V32" s="145">
        <v>6398</v>
      </c>
      <c r="X32" s="145">
        <v>1175</v>
      </c>
      <c r="Y32" s="145"/>
      <c r="Z32" s="156">
        <v>1359</v>
      </c>
      <c r="AA32" s="84"/>
      <c r="AB32" s="145">
        <v>3306</v>
      </c>
      <c r="AC32" s="84"/>
      <c r="AD32" s="145">
        <v>19047</v>
      </c>
      <c r="AE32" s="84"/>
      <c r="AF32" s="145">
        <v>569</v>
      </c>
      <c r="AG32" s="84"/>
      <c r="AH32" s="145">
        <v>882</v>
      </c>
      <c r="AI32" s="84"/>
      <c r="AJ32" s="145">
        <v>105153</v>
      </c>
      <c r="AK32" s="320"/>
      <c r="AL32" s="145">
        <v>62860</v>
      </c>
      <c r="AN32" s="145">
        <v>17264</v>
      </c>
      <c r="AO32" s="84"/>
      <c r="AP32" s="156">
        <v>34568</v>
      </c>
      <c r="AQ32" s="145"/>
      <c r="AR32" s="157">
        <v>94880</v>
      </c>
      <c r="AS32" s="157"/>
      <c r="AT32" s="157">
        <v>577112</v>
      </c>
      <c r="AU32" s="84"/>
      <c r="AV32" s="145">
        <v>7544</v>
      </c>
      <c r="AW32" s="84"/>
      <c r="AX32" s="145">
        <v>16112</v>
      </c>
      <c r="AY32" s="84"/>
      <c r="AZ32" s="147"/>
      <c r="BA32" s="147"/>
      <c r="BB32" s="147"/>
      <c r="BC32" s="147"/>
      <c r="BD32" s="147"/>
      <c r="BE32" s="147"/>
      <c r="BF32" s="147"/>
      <c r="BG32" s="147"/>
      <c r="BH32" s="147"/>
      <c r="BI32" s="148"/>
      <c r="BJ32" s="147"/>
      <c r="BK32" s="147"/>
      <c r="BL32" s="147"/>
      <c r="BM32" s="148"/>
      <c r="BN32" s="147"/>
      <c r="BO32" s="149"/>
      <c r="BP32" s="147"/>
      <c r="BQ32" s="150"/>
    </row>
    <row r="33" spans="2:69" s="141" customFormat="1" ht="25.15" customHeight="1" x14ac:dyDescent="0.2">
      <c r="B33" s="433"/>
      <c r="C33" s="435" t="s">
        <v>141</v>
      </c>
      <c r="D33" s="314">
        <v>0</v>
      </c>
      <c r="E33" s="314"/>
      <c r="F33" s="314">
        <v>0</v>
      </c>
      <c r="G33" s="314"/>
      <c r="H33" s="145">
        <v>0</v>
      </c>
      <c r="I33" s="145"/>
      <c r="J33" s="316" t="s">
        <v>8</v>
      </c>
      <c r="K33" s="84"/>
      <c r="L33" s="316" t="s">
        <v>8</v>
      </c>
      <c r="M33" s="84"/>
      <c r="N33" s="84">
        <v>2</v>
      </c>
      <c r="O33" s="84"/>
      <c r="P33" s="145">
        <v>0</v>
      </c>
      <c r="Q33" s="84"/>
      <c r="R33" s="145">
        <v>0</v>
      </c>
      <c r="S33" s="84"/>
      <c r="T33" s="314">
        <v>0</v>
      </c>
      <c r="V33" s="145">
        <v>0</v>
      </c>
      <c r="X33" s="145">
        <v>0</v>
      </c>
      <c r="Y33" s="145"/>
      <c r="Z33" s="157" t="s">
        <v>8</v>
      </c>
      <c r="AA33" s="84"/>
      <c r="AB33" s="145">
        <v>0</v>
      </c>
      <c r="AC33" s="84"/>
      <c r="AD33" s="145">
        <v>13</v>
      </c>
      <c r="AE33" s="84"/>
      <c r="AF33" s="145">
        <v>0</v>
      </c>
      <c r="AG33" s="84"/>
      <c r="AH33" s="145">
        <v>0</v>
      </c>
      <c r="AI33" s="84"/>
      <c r="AJ33" s="314">
        <v>0</v>
      </c>
      <c r="AK33" s="320"/>
      <c r="AL33" s="145">
        <v>0</v>
      </c>
      <c r="AN33" s="145">
        <v>0</v>
      </c>
      <c r="AO33" s="84"/>
      <c r="AP33" s="157" t="s">
        <v>8</v>
      </c>
      <c r="AQ33" s="145"/>
      <c r="AR33" s="157" t="s">
        <v>8</v>
      </c>
      <c r="AS33" s="157"/>
      <c r="AT33" s="157">
        <v>776</v>
      </c>
      <c r="AU33" s="84"/>
      <c r="AV33" s="145">
        <v>0</v>
      </c>
      <c r="AW33" s="84"/>
      <c r="AX33" s="145">
        <v>0</v>
      </c>
      <c r="AY33" s="84"/>
      <c r="AZ33" s="147"/>
      <c r="BA33" s="147"/>
      <c r="BB33" s="147"/>
      <c r="BC33" s="147"/>
      <c r="BD33" s="147"/>
      <c r="BE33" s="147"/>
      <c r="BF33" s="147"/>
      <c r="BG33" s="147"/>
      <c r="BH33" s="147"/>
      <c r="BI33" s="148"/>
      <c r="BJ33" s="147"/>
      <c r="BK33" s="147"/>
      <c r="BL33" s="147"/>
      <c r="BM33" s="148"/>
      <c r="BN33" s="151"/>
      <c r="BO33" s="149"/>
      <c r="BP33" s="147"/>
      <c r="BQ33" s="150"/>
    </row>
    <row r="34" spans="2:69" s="141" customFormat="1" ht="25.15" customHeight="1" x14ac:dyDescent="0.2">
      <c r="B34" s="433"/>
      <c r="C34" s="435" t="s">
        <v>90</v>
      </c>
      <c r="D34" s="145">
        <v>1</v>
      </c>
      <c r="E34" s="145"/>
      <c r="F34" s="314">
        <v>0</v>
      </c>
      <c r="G34" s="314"/>
      <c r="H34" s="145">
        <v>0</v>
      </c>
      <c r="I34" s="145"/>
      <c r="J34" s="84">
        <v>1</v>
      </c>
      <c r="K34" s="84"/>
      <c r="L34" s="316" t="s">
        <v>8</v>
      </c>
      <c r="M34" s="84"/>
      <c r="N34" s="316" t="s">
        <v>8</v>
      </c>
      <c r="O34" s="84"/>
      <c r="P34" s="145">
        <v>0</v>
      </c>
      <c r="Q34" s="84"/>
      <c r="R34" s="145">
        <v>0</v>
      </c>
      <c r="S34" s="84"/>
      <c r="T34" s="145">
        <v>73</v>
      </c>
      <c r="V34" s="145">
        <v>0</v>
      </c>
      <c r="X34" s="145">
        <v>0</v>
      </c>
      <c r="Y34" s="145"/>
      <c r="Z34" s="156">
        <v>73</v>
      </c>
      <c r="AA34" s="84"/>
      <c r="AB34" s="145">
        <v>0</v>
      </c>
      <c r="AC34" s="84"/>
      <c r="AD34" s="313" t="s">
        <v>8</v>
      </c>
      <c r="AE34" s="84"/>
      <c r="AF34" s="145">
        <v>0</v>
      </c>
      <c r="AG34" s="84"/>
      <c r="AH34" s="145">
        <v>0</v>
      </c>
      <c r="AI34" s="84"/>
      <c r="AJ34" s="145">
        <v>1168</v>
      </c>
      <c r="AK34" s="320"/>
      <c r="AL34" s="145">
        <v>0</v>
      </c>
      <c r="AN34" s="145">
        <v>0</v>
      </c>
      <c r="AO34" s="84"/>
      <c r="AP34" s="156">
        <v>584</v>
      </c>
      <c r="AQ34" s="145"/>
      <c r="AR34" s="157" t="s">
        <v>8</v>
      </c>
      <c r="AS34" s="157"/>
      <c r="AT34" s="157" t="s">
        <v>8</v>
      </c>
      <c r="AU34" s="84"/>
      <c r="AV34" s="145">
        <v>0</v>
      </c>
      <c r="AW34" s="84"/>
      <c r="AX34" s="145">
        <v>0</v>
      </c>
      <c r="AY34" s="84"/>
      <c r="AZ34" s="147"/>
      <c r="BA34" s="147"/>
      <c r="BB34" s="147"/>
      <c r="BC34" s="147"/>
      <c r="BD34" s="147"/>
      <c r="BE34" s="147"/>
      <c r="BF34" s="147"/>
      <c r="BG34" s="147"/>
      <c r="BH34" s="147"/>
      <c r="BI34" s="148"/>
      <c r="BJ34" s="147"/>
      <c r="BK34" s="147"/>
      <c r="BL34" s="147"/>
      <c r="BM34" s="148"/>
      <c r="BN34" s="147"/>
      <c r="BO34" s="149"/>
      <c r="BP34" s="147"/>
      <c r="BQ34" s="150"/>
    </row>
    <row r="35" spans="2:69" s="141" customFormat="1" ht="25.15" customHeight="1" x14ac:dyDescent="0.2">
      <c r="B35" s="433"/>
      <c r="C35" s="435" t="s">
        <v>144</v>
      </c>
      <c r="D35" s="145">
        <v>13</v>
      </c>
      <c r="E35" s="145"/>
      <c r="F35" s="145">
        <v>22</v>
      </c>
      <c r="G35" s="145"/>
      <c r="H35" s="145">
        <v>9</v>
      </c>
      <c r="I35" s="145"/>
      <c r="J35" s="316" t="s">
        <v>8</v>
      </c>
      <c r="K35" s="84"/>
      <c r="L35" s="316">
        <v>11</v>
      </c>
      <c r="M35" s="84"/>
      <c r="N35" s="84">
        <v>12</v>
      </c>
      <c r="O35" s="84"/>
      <c r="P35" s="145">
        <v>14</v>
      </c>
      <c r="Q35" s="84"/>
      <c r="R35" s="145">
        <v>7</v>
      </c>
      <c r="S35" s="84"/>
      <c r="T35" s="145">
        <v>2807</v>
      </c>
      <c r="V35" s="145">
        <v>3225</v>
      </c>
      <c r="X35" s="145">
        <v>928</v>
      </c>
      <c r="Y35" s="145"/>
      <c r="Z35" s="157" t="s">
        <v>8</v>
      </c>
      <c r="AA35" s="84"/>
      <c r="AB35" s="145">
        <v>2537</v>
      </c>
      <c r="AC35" s="84"/>
      <c r="AD35" s="145">
        <v>2313</v>
      </c>
      <c r="AE35" s="84"/>
      <c r="AF35" s="145">
        <v>3430</v>
      </c>
      <c r="AG35" s="84"/>
      <c r="AH35" s="145">
        <v>922</v>
      </c>
      <c r="AI35" s="84"/>
      <c r="AJ35" s="145">
        <v>26499</v>
      </c>
      <c r="AK35" s="320"/>
      <c r="AL35" s="145">
        <v>272096</v>
      </c>
      <c r="AN35" s="145">
        <v>119704</v>
      </c>
      <c r="AO35" s="84"/>
      <c r="AP35" s="157" t="s">
        <v>8</v>
      </c>
      <c r="AQ35" s="145"/>
      <c r="AR35" s="157">
        <v>232560</v>
      </c>
      <c r="AS35" s="157"/>
      <c r="AT35" s="157">
        <v>15340</v>
      </c>
      <c r="AU35" s="84"/>
      <c r="AV35" s="145">
        <v>37880</v>
      </c>
      <c r="AW35" s="84"/>
      <c r="AX35" s="145">
        <v>13774</v>
      </c>
      <c r="AY35" s="84"/>
      <c r="AZ35" s="147"/>
      <c r="BA35" s="147"/>
      <c r="BB35" s="147"/>
      <c r="BC35" s="147"/>
      <c r="BD35" s="147"/>
      <c r="BE35" s="147"/>
      <c r="BF35" s="147"/>
      <c r="BG35" s="147"/>
      <c r="BH35" s="147"/>
      <c r="BI35" s="148"/>
      <c r="BJ35" s="147"/>
      <c r="BK35" s="147"/>
      <c r="BL35" s="147"/>
      <c r="BM35" s="148"/>
      <c r="BN35" s="147"/>
      <c r="BO35" s="149"/>
      <c r="BP35" s="147"/>
      <c r="BQ35" s="150"/>
    </row>
    <row r="36" spans="2:69" s="141" customFormat="1" ht="25.15" customHeight="1" x14ac:dyDescent="0.2">
      <c r="B36" s="433"/>
      <c r="C36" s="435" t="s">
        <v>110</v>
      </c>
      <c r="D36" s="145">
        <v>0</v>
      </c>
      <c r="E36" s="145"/>
      <c r="F36" s="314">
        <v>0</v>
      </c>
      <c r="G36" s="314"/>
      <c r="H36" s="145">
        <v>0</v>
      </c>
      <c r="I36" s="145"/>
      <c r="J36" s="316" t="s">
        <v>8</v>
      </c>
      <c r="K36" s="84"/>
      <c r="L36" s="316" t="s">
        <v>8</v>
      </c>
      <c r="M36" s="84"/>
      <c r="N36" s="316" t="s">
        <v>8</v>
      </c>
      <c r="O36" s="84"/>
      <c r="P36" s="145">
        <v>0</v>
      </c>
      <c r="Q36" s="84"/>
      <c r="R36" s="145">
        <v>0</v>
      </c>
      <c r="S36" s="84"/>
      <c r="T36" s="145">
        <v>0</v>
      </c>
      <c r="V36" s="145">
        <v>0</v>
      </c>
      <c r="X36" s="145">
        <v>0</v>
      </c>
      <c r="Y36" s="145"/>
      <c r="Z36" s="157" t="s">
        <v>8</v>
      </c>
      <c r="AA36" s="84"/>
      <c r="AB36" s="145">
        <v>0</v>
      </c>
      <c r="AC36" s="84"/>
      <c r="AD36" s="313" t="s">
        <v>8</v>
      </c>
      <c r="AE36" s="84"/>
      <c r="AF36" s="145">
        <v>0</v>
      </c>
      <c r="AG36" s="84"/>
      <c r="AH36" s="145">
        <v>0</v>
      </c>
      <c r="AI36" s="84"/>
      <c r="AJ36" s="145">
        <v>0</v>
      </c>
      <c r="AK36" s="320"/>
      <c r="AL36" s="145">
        <v>0</v>
      </c>
      <c r="AN36" s="145">
        <v>0</v>
      </c>
      <c r="AO36" s="84"/>
      <c r="AP36" s="157" t="s">
        <v>8</v>
      </c>
      <c r="AQ36" s="145"/>
      <c r="AR36" s="157" t="s">
        <v>8</v>
      </c>
      <c r="AS36" s="157"/>
      <c r="AT36" s="157" t="s">
        <v>8</v>
      </c>
      <c r="AU36" s="84"/>
      <c r="AV36" s="145">
        <v>0</v>
      </c>
      <c r="AW36" s="84"/>
      <c r="AX36" s="145">
        <v>0</v>
      </c>
      <c r="AY36" s="84"/>
      <c r="AZ36" s="147"/>
      <c r="BA36" s="147"/>
      <c r="BB36" s="147"/>
      <c r="BC36" s="147"/>
      <c r="BD36" s="147"/>
      <c r="BE36" s="147"/>
      <c r="BF36" s="147"/>
      <c r="BG36" s="147"/>
      <c r="BH36" s="147"/>
      <c r="BI36" s="148"/>
      <c r="BJ36" s="147"/>
      <c r="BK36" s="147"/>
      <c r="BL36" s="147"/>
      <c r="BM36" s="148"/>
      <c r="BN36" s="147"/>
      <c r="BO36" s="149"/>
      <c r="BP36" s="147"/>
      <c r="BQ36" s="150"/>
    </row>
    <row r="37" spans="2:69" s="141" customFormat="1" ht="25.15" customHeight="1" x14ac:dyDescent="0.2">
      <c r="B37" s="433"/>
      <c r="C37" s="434" t="s">
        <v>91</v>
      </c>
      <c r="D37" s="145">
        <v>1</v>
      </c>
      <c r="E37" s="145"/>
      <c r="F37" s="314">
        <v>0</v>
      </c>
      <c r="G37" s="314"/>
      <c r="H37" s="145">
        <v>0</v>
      </c>
      <c r="I37" s="145"/>
      <c r="J37" s="84">
        <v>1</v>
      </c>
      <c r="K37" s="84"/>
      <c r="L37" s="316">
        <v>9</v>
      </c>
      <c r="M37" s="84"/>
      <c r="N37" s="84">
        <v>3</v>
      </c>
      <c r="O37" s="84"/>
      <c r="P37" s="145">
        <v>3</v>
      </c>
      <c r="Q37" s="84"/>
      <c r="R37" s="145">
        <v>2</v>
      </c>
      <c r="S37" s="84"/>
      <c r="T37" s="145">
        <v>50</v>
      </c>
      <c r="V37" s="145">
        <v>0</v>
      </c>
      <c r="X37" s="145">
        <v>0</v>
      </c>
      <c r="Y37" s="145"/>
      <c r="Z37" s="156">
        <v>30</v>
      </c>
      <c r="AA37" s="84"/>
      <c r="AB37" s="145">
        <v>1642</v>
      </c>
      <c r="AC37" s="84"/>
      <c r="AD37" s="145">
        <v>2483</v>
      </c>
      <c r="AE37" s="84"/>
      <c r="AF37" s="145">
        <v>1984</v>
      </c>
      <c r="AG37" s="84"/>
      <c r="AH37" s="145">
        <v>33</v>
      </c>
      <c r="AI37" s="84"/>
      <c r="AJ37" s="145">
        <v>2400</v>
      </c>
      <c r="AK37" s="320"/>
      <c r="AL37" s="145">
        <v>0</v>
      </c>
      <c r="AN37" s="145">
        <v>0</v>
      </c>
      <c r="AO37" s="84"/>
      <c r="AP37" s="156">
        <v>240</v>
      </c>
      <c r="AQ37" s="145"/>
      <c r="AR37" s="157">
        <v>39408</v>
      </c>
      <c r="AS37" s="157"/>
      <c r="AT37" s="157">
        <v>56168</v>
      </c>
      <c r="AU37" s="84"/>
      <c r="AV37" s="145">
        <v>15872</v>
      </c>
      <c r="AW37" s="84"/>
      <c r="AX37" s="145">
        <v>640</v>
      </c>
      <c r="AY37" s="84"/>
      <c r="AZ37" s="147"/>
      <c r="BA37" s="147"/>
      <c r="BB37" s="147"/>
      <c r="BC37" s="147"/>
      <c r="BD37" s="147"/>
      <c r="BE37" s="147"/>
      <c r="BF37" s="147"/>
      <c r="BG37" s="147"/>
      <c r="BH37" s="147"/>
      <c r="BI37" s="148"/>
      <c r="BJ37" s="147"/>
      <c r="BK37" s="147"/>
      <c r="BL37" s="147"/>
      <c r="BM37" s="148"/>
      <c r="BN37" s="147"/>
      <c r="BO37" s="149"/>
      <c r="BP37" s="147"/>
      <c r="BQ37" s="150"/>
    </row>
    <row r="38" spans="2:69" s="141" customFormat="1" ht="25.15" customHeight="1" x14ac:dyDescent="0.2">
      <c r="B38" s="433"/>
      <c r="C38" s="434" t="s">
        <v>111</v>
      </c>
      <c r="D38" s="145">
        <v>0</v>
      </c>
      <c r="E38" s="145"/>
      <c r="F38" s="314">
        <v>0</v>
      </c>
      <c r="G38" s="314"/>
      <c r="H38" s="145">
        <v>1</v>
      </c>
      <c r="I38" s="145"/>
      <c r="J38" s="84">
        <v>1</v>
      </c>
      <c r="K38" s="84"/>
      <c r="L38" s="316">
        <v>1</v>
      </c>
      <c r="M38" s="84"/>
      <c r="N38" s="84">
        <v>6</v>
      </c>
      <c r="O38" s="84"/>
      <c r="P38" s="145">
        <v>13</v>
      </c>
      <c r="Q38" s="84"/>
      <c r="R38" s="145">
        <v>6</v>
      </c>
      <c r="S38" s="84"/>
      <c r="T38" s="145">
        <v>0</v>
      </c>
      <c r="V38" s="145">
        <v>0</v>
      </c>
      <c r="X38" s="145">
        <v>120</v>
      </c>
      <c r="Y38" s="145"/>
      <c r="Z38" s="156">
        <v>36</v>
      </c>
      <c r="AA38" s="84"/>
      <c r="AB38" s="145">
        <v>11</v>
      </c>
      <c r="AC38" s="84"/>
      <c r="AD38" s="145">
        <v>1325</v>
      </c>
      <c r="AE38" s="84"/>
      <c r="AF38" s="145">
        <v>1811</v>
      </c>
      <c r="AG38" s="84"/>
      <c r="AH38" s="145">
        <v>889</v>
      </c>
      <c r="AI38" s="84"/>
      <c r="AJ38" s="145">
        <v>0</v>
      </c>
      <c r="AK38" s="320"/>
      <c r="AL38" s="145">
        <v>0</v>
      </c>
      <c r="AN38" s="145">
        <v>1920</v>
      </c>
      <c r="AO38" s="84"/>
      <c r="AP38" s="156">
        <v>288</v>
      </c>
      <c r="AQ38" s="145"/>
      <c r="AR38" s="157">
        <v>88</v>
      </c>
      <c r="AS38" s="157"/>
      <c r="AT38" s="157">
        <v>10888</v>
      </c>
      <c r="AU38" s="84"/>
      <c r="AV38" s="145">
        <v>14488</v>
      </c>
      <c r="AW38" s="84"/>
      <c r="AX38" s="145">
        <v>16480</v>
      </c>
      <c r="AY38" s="84"/>
      <c r="AZ38" s="147"/>
      <c r="BA38" s="147"/>
      <c r="BB38" s="147"/>
      <c r="BC38" s="147"/>
      <c r="BD38" s="147"/>
      <c r="BE38" s="147"/>
      <c r="BF38" s="147"/>
      <c r="BG38" s="147"/>
      <c r="BH38" s="147"/>
      <c r="BI38" s="148"/>
      <c r="BJ38" s="147"/>
      <c r="BK38" s="147"/>
      <c r="BL38" s="147"/>
      <c r="BM38" s="148"/>
      <c r="BN38" s="147"/>
      <c r="BO38" s="149"/>
      <c r="BP38" s="147"/>
      <c r="BQ38" s="150"/>
    </row>
    <row r="39" spans="2:69" s="141" customFormat="1" ht="25.15" customHeight="1" x14ac:dyDescent="0.2">
      <c r="B39" s="433"/>
      <c r="C39" s="435" t="s">
        <v>19</v>
      </c>
      <c r="D39" s="145">
        <v>0</v>
      </c>
      <c r="E39" s="145"/>
      <c r="F39" s="314">
        <v>1</v>
      </c>
      <c r="G39" s="314"/>
      <c r="H39" s="145">
        <v>0</v>
      </c>
      <c r="I39" s="145"/>
      <c r="J39" s="316" t="s">
        <v>8</v>
      </c>
      <c r="K39" s="84"/>
      <c r="L39" s="316" t="s">
        <v>8</v>
      </c>
      <c r="M39" s="84"/>
      <c r="N39" s="84">
        <v>1</v>
      </c>
      <c r="O39" s="84"/>
      <c r="P39" s="145">
        <v>1</v>
      </c>
      <c r="Q39" s="84"/>
      <c r="R39" s="145">
        <v>3</v>
      </c>
      <c r="S39" s="84"/>
      <c r="T39" s="145">
        <v>0</v>
      </c>
      <c r="V39" s="145">
        <v>9</v>
      </c>
      <c r="X39" s="145">
        <v>0</v>
      </c>
      <c r="Y39" s="145"/>
      <c r="Z39" s="157" t="s">
        <v>8</v>
      </c>
      <c r="AA39" s="84"/>
      <c r="AB39" s="145">
        <v>0</v>
      </c>
      <c r="AC39" s="84"/>
      <c r="AD39" s="145">
        <v>245</v>
      </c>
      <c r="AE39" s="84"/>
      <c r="AF39" s="145">
        <v>42</v>
      </c>
      <c r="AG39" s="84"/>
      <c r="AH39" s="145">
        <v>224</v>
      </c>
      <c r="AI39" s="84"/>
      <c r="AJ39" s="145">
        <v>0</v>
      </c>
      <c r="AK39" s="320"/>
      <c r="AL39" s="145">
        <v>72</v>
      </c>
      <c r="AN39" s="145">
        <v>0</v>
      </c>
      <c r="AO39" s="84"/>
      <c r="AP39" s="157" t="s">
        <v>8</v>
      </c>
      <c r="AQ39" s="145"/>
      <c r="AR39" s="157" t="s">
        <v>8</v>
      </c>
      <c r="AS39" s="157"/>
      <c r="AT39" s="157">
        <v>1960</v>
      </c>
      <c r="AU39" s="84"/>
      <c r="AV39" s="145">
        <v>336</v>
      </c>
      <c r="AW39" s="84"/>
      <c r="AX39" s="145">
        <v>1792</v>
      </c>
      <c r="AY39" s="84"/>
      <c r="AZ39" s="147"/>
      <c r="BA39" s="147"/>
      <c r="BB39" s="147"/>
      <c r="BC39" s="147"/>
      <c r="BD39" s="147"/>
      <c r="BE39" s="147"/>
      <c r="BF39" s="147"/>
      <c r="BG39" s="147"/>
      <c r="BH39" s="147"/>
      <c r="BI39" s="148"/>
      <c r="BJ39" s="147"/>
      <c r="BK39" s="147"/>
      <c r="BL39" s="147"/>
      <c r="BM39" s="148"/>
      <c r="BN39" s="147"/>
      <c r="BO39" s="149"/>
      <c r="BP39" s="147"/>
      <c r="BQ39" s="150"/>
    </row>
    <row r="40" spans="2:69" s="141" customFormat="1" ht="25.15" customHeight="1" x14ac:dyDescent="0.2">
      <c r="B40" s="433"/>
      <c r="C40" s="435" t="s">
        <v>46</v>
      </c>
      <c r="D40" s="145">
        <v>0</v>
      </c>
      <c r="E40" s="145"/>
      <c r="F40" s="314">
        <v>0</v>
      </c>
      <c r="G40" s="314"/>
      <c r="H40" s="145">
        <v>0</v>
      </c>
      <c r="I40" s="145"/>
      <c r="J40" s="316" t="s">
        <v>8</v>
      </c>
      <c r="K40" s="84"/>
      <c r="L40" s="316">
        <v>1</v>
      </c>
      <c r="M40" s="84"/>
      <c r="N40" s="84">
        <v>2</v>
      </c>
      <c r="O40" s="84"/>
      <c r="P40" s="145">
        <v>6</v>
      </c>
      <c r="Q40" s="84"/>
      <c r="R40" s="145">
        <v>9</v>
      </c>
      <c r="S40" s="84"/>
      <c r="T40" s="145">
        <v>0</v>
      </c>
      <c r="V40" s="145">
        <v>0</v>
      </c>
      <c r="X40" s="145">
        <v>0</v>
      </c>
      <c r="Y40" s="145"/>
      <c r="Z40" s="157" t="s">
        <v>8</v>
      </c>
      <c r="AA40" s="84"/>
      <c r="AB40" s="145">
        <v>77</v>
      </c>
      <c r="AC40" s="84"/>
      <c r="AD40" s="145">
        <v>37</v>
      </c>
      <c r="AE40" s="84"/>
      <c r="AF40" s="145">
        <v>1197</v>
      </c>
      <c r="AG40" s="84"/>
      <c r="AH40" s="145">
        <v>5480</v>
      </c>
      <c r="AI40" s="84"/>
      <c r="AJ40" s="145">
        <v>0</v>
      </c>
      <c r="AK40" s="320"/>
      <c r="AL40" s="145">
        <v>0</v>
      </c>
      <c r="AN40" s="145">
        <v>0</v>
      </c>
      <c r="AO40" s="84"/>
      <c r="AP40" s="157" t="s">
        <v>8</v>
      </c>
      <c r="AQ40" s="145"/>
      <c r="AR40" s="157">
        <v>616</v>
      </c>
      <c r="AS40" s="157"/>
      <c r="AT40" s="157">
        <v>464</v>
      </c>
      <c r="AU40" s="84"/>
      <c r="AV40" s="145">
        <v>10128</v>
      </c>
      <c r="AW40" s="84"/>
      <c r="AX40" s="145">
        <v>231988</v>
      </c>
      <c r="AY40" s="84"/>
      <c r="AZ40" s="147"/>
      <c r="BA40" s="147"/>
      <c r="BB40" s="147"/>
      <c r="BC40" s="147"/>
      <c r="BD40" s="147"/>
      <c r="BE40" s="147"/>
      <c r="BF40" s="147"/>
      <c r="BG40" s="147"/>
      <c r="BH40" s="147"/>
      <c r="BI40" s="148"/>
      <c r="BJ40" s="147"/>
      <c r="BK40" s="147"/>
      <c r="BL40" s="147"/>
      <c r="BM40" s="148"/>
      <c r="BN40" s="147"/>
      <c r="BO40" s="149"/>
      <c r="BP40" s="147"/>
      <c r="BQ40" s="150"/>
    </row>
    <row r="41" spans="2:69" s="141" customFormat="1" ht="25.15" customHeight="1" x14ac:dyDescent="0.2">
      <c r="B41" s="433"/>
      <c r="C41" s="435" t="s">
        <v>142</v>
      </c>
      <c r="D41" s="145">
        <v>0</v>
      </c>
      <c r="E41" s="145"/>
      <c r="F41" s="314">
        <v>0</v>
      </c>
      <c r="G41" s="314"/>
      <c r="H41" s="145">
        <v>0</v>
      </c>
      <c r="I41" s="145"/>
      <c r="J41" s="316" t="s">
        <v>8</v>
      </c>
      <c r="K41" s="84"/>
      <c r="L41" s="316" t="s">
        <v>8</v>
      </c>
      <c r="M41" s="84"/>
      <c r="N41" s="84">
        <v>1</v>
      </c>
      <c r="O41" s="84"/>
      <c r="P41" s="145">
        <v>1</v>
      </c>
      <c r="Q41" s="84"/>
      <c r="R41" s="145">
        <v>1</v>
      </c>
      <c r="S41" s="84"/>
      <c r="T41" s="145">
        <v>0</v>
      </c>
      <c r="V41" s="145">
        <v>0</v>
      </c>
      <c r="X41" s="145">
        <v>0</v>
      </c>
      <c r="Y41" s="145"/>
      <c r="Z41" s="157" t="s">
        <v>8</v>
      </c>
      <c r="AA41" s="84"/>
      <c r="AB41" s="145">
        <v>0</v>
      </c>
      <c r="AC41" s="84"/>
      <c r="AD41" s="145">
        <v>39</v>
      </c>
      <c r="AE41" s="84"/>
      <c r="AF41" s="145">
        <v>112</v>
      </c>
      <c r="AG41" s="84"/>
      <c r="AH41" s="145">
        <v>46</v>
      </c>
      <c r="AI41" s="84"/>
      <c r="AJ41" s="145">
        <v>0</v>
      </c>
      <c r="AK41" s="320"/>
      <c r="AL41" s="145">
        <v>0</v>
      </c>
      <c r="AN41" s="145">
        <v>0</v>
      </c>
      <c r="AO41" s="84"/>
      <c r="AP41" s="157" t="s">
        <v>8</v>
      </c>
      <c r="AQ41" s="145"/>
      <c r="AR41" s="157" t="s">
        <v>8</v>
      </c>
      <c r="AS41" s="157"/>
      <c r="AT41" s="157">
        <v>5312</v>
      </c>
      <c r="AU41" s="84"/>
      <c r="AV41" s="145">
        <v>896</v>
      </c>
      <c r="AW41" s="84"/>
      <c r="AX41" s="145">
        <v>368</v>
      </c>
      <c r="AY41" s="84"/>
      <c r="AZ41" s="147"/>
      <c r="BA41" s="147"/>
      <c r="BB41" s="147"/>
      <c r="BC41" s="147"/>
      <c r="BD41" s="147"/>
      <c r="BE41" s="147"/>
      <c r="BF41" s="147"/>
      <c r="BG41" s="147"/>
      <c r="BH41" s="147"/>
      <c r="BI41" s="148"/>
      <c r="BJ41" s="147"/>
      <c r="BK41" s="147"/>
      <c r="BL41" s="147"/>
      <c r="BM41" s="148"/>
      <c r="BN41" s="147"/>
      <c r="BO41" s="149"/>
      <c r="BP41" s="147"/>
      <c r="BQ41" s="150"/>
    </row>
    <row r="42" spans="2:69" s="141" customFormat="1" ht="25.15" customHeight="1" x14ac:dyDescent="0.2">
      <c r="B42" s="433"/>
      <c r="C42" s="435" t="s">
        <v>92</v>
      </c>
      <c r="D42" s="145">
        <v>0</v>
      </c>
      <c r="E42" s="145"/>
      <c r="F42" s="145">
        <v>1</v>
      </c>
      <c r="G42" s="145"/>
      <c r="H42" s="145">
        <v>0</v>
      </c>
      <c r="I42" s="145"/>
      <c r="J42" s="316" t="s">
        <v>8</v>
      </c>
      <c r="K42" s="84"/>
      <c r="L42" s="316">
        <v>3</v>
      </c>
      <c r="M42" s="84"/>
      <c r="N42" s="316" t="s">
        <v>8</v>
      </c>
      <c r="O42" s="84"/>
      <c r="P42" s="145">
        <v>0</v>
      </c>
      <c r="Q42" s="84"/>
      <c r="R42" s="145">
        <v>0</v>
      </c>
      <c r="S42" s="84"/>
      <c r="T42" s="145">
        <v>0</v>
      </c>
      <c r="V42" s="145">
        <v>36394</v>
      </c>
      <c r="X42" s="145">
        <v>0</v>
      </c>
      <c r="Y42" s="145"/>
      <c r="Z42" s="157" t="s">
        <v>8</v>
      </c>
      <c r="AA42" s="84"/>
      <c r="AB42" s="145">
        <v>2266</v>
      </c>
      <c r="AC42" s="84"/>
      <c r="AD42" s="313" t="s">
        <v>8</v>
      </c>
      <c r="AE42" s="84"/>
      <c r="AF42" s="145">
        <v>0</v>
      </c>
      <c r="AG42" s="84"/>
      <c r="AH42" s="145">
        <v>0</v>
      </c>
      <c r="AI42" s="84"/>
      <c r="AJ42" s="145">
        <v>0</v>
      </c>
      <c r="AK42" s="320"/>
      <c r="AL42" s="145">
        <v>291152</v>
      </c>
      <c r="AN42" s="145">
        <v>0</v>
      </c>
      <c r="AO42" s="84"/>
      <c r="AP42" s="157" t="s">
        <v>8</v>
      </c>
      <c r="AQ42" s="145"/>
      <c r="AR42" s="157">
        <v>18128</v>
      </c>
      <c r="AS42" s="157"/>
      <c r="AT42" s="157" t="s">
        <v>8</v>
      </c>
      <c r="AU42" s="84"/>
      <c r="AV42" s="145">
        <v>0</v>
      </c>
      <c r="AW42" s="84"/>
      <c r="AX42" s="145">
        <v>0</v>
      </c>
      <c r="AY42" s="84"/>
      <c r="AZ42" s="147"/>
      <c r="BA42" s="147"/>
      <c r="BB42" s="147"/>
      <c r="BC42" s="147"/>
      <c r="BD42" s="147"/>
      <c r="BE42" s="147"/>
      <c r="BF42" s="147"/>
      <c r="BG42" s="147"/>
      <c r="BH42" s="147"/>
      <c r="BI42" s="148"/>
      <c r="BJ42" s="147"/>
      <c r="BK42" s="147"/>
      <c r="BL42" s="147"/>
      <c r="BM42" s="148"/>
      <c r="BN42" s="147"/>
      <c r="BO42" s="149"/>
      <c r="BP42" s="147"/>
      <c r="BQ42" s="150"/>
    </row>
    <row r="43" spans="2:69" ht="30" customHeight="1" x14ac:dyDescent="0.2">
      <c r="B43" s="439"/>
      <c r="C43" s="380" t="s">
        <v>6</v>
      </c>
      <c r="D43" s="454">
        <f>SUM(D27:D42)</f>
        <v>58</v>
      </c>
      <c r="E43" s="454"/>
      <c r="F43" s="454">
        <f>SUM(F27:F42)</f>
        <v>71</v>
      </c>
      <c r="G43" s="454"/>
      <c r="H43" s="454">
        <f>SUM(H27:H42)</f>
        <v>37</v>
      </c>
      <c r="I43" s="455"/>
      <c r="J43" s="454">
        <f>SUM(J27:J42)</f>
        <v>40</v>
      </c>
      <c r="K43" s="454"/>
      <c r="L43" s="447">
        <f>SUM(L27:L42)</f>
        <v>64</v>
      </c>
      <c r="M43" s="439"/>
      <c r="N43" s="446">
        <f>SUM(N27:N42)</f>
        <v>68</v>
      </c>
      <c r="O43" s="439"/>
      <c r="P43" s="447">
        <f>SUM(P27:P42)</f>
        <v>107</v>
      </c>
      <c r="Q43" s="439"/>
      <c r="R43" s="446">
        <f>SUM(R27:R42)</f>
        <v>65</v>
      </c>
      <c r="S43" s="456"/>
      <c r="T43" s="454">
        <f>SUM(T27:T42)</f>
        <v>17333</v>
      </c>
      <c r="U43" s="439"/>
      <c r="V43" s="454">
        <f>SUM(V27:V42)</f>
        <v>52080</v>
      </c>
      <c r="W43" s="439"/>
      <c r="X43" s="454">
        <f>SUM(X27:X42)</f>
        <v>5280</v>
      </c>
      <c r="Y43" s="455"/>
      <c r="Z43" s="454">
        <f>SUM(Z27:Z42)</f>
        <v>11050</v>
      </c>
      <c r="AA43" s="455"/>
      <c r="AB43" s="457">
        <f>SUM(AB27:AB42)</f>
        <v>22925</v>
      </c>
      <c r="AC43" s="439"/>
      <c r="AD43" s="446">
        <f>SUM(AD27:AD42)</f>
        <v>37323</v>
      </c>
      <c r="AE43" s="439"/>
      <c r="AF43" s="446">
        <f>SUM(AF27:AF42)</f>
        <v>29273</v>
      </c>
      <c r="AG43" s="439"/>
      <c r="AH43" s="446">
        <f>SUM(AH27:AH42)</f>
        <v>19022</v>
      </c>
      <c r="AI43" s="456"/>
      <c r="AJ43" s="454">
        <f>SUM(AJ27:AJ42)</f>
        <v>323168</v>
      </c>
      <c r="AK43" s="455"/>
      <c r="AL43" s="454">
        <f>SUM(AL27:AL42)</f>
        <v>724260</v>
      </c>
      <c r="AM43" s="439"/>
      <c r="AN43" s="454">
        <f>SUM(AN27:AN42)</f>
        <v>181691</v>
      </c>
      <c r="AO43" s="439"/>
      <c r="AP43" s="457">
        <f>SUM(AP27:AP42)</f>
        <v>488930</v>
      </c>
      <c r="AQ43" s="455"/>
      <c r="AR43" s="457">
        <f>SUM(AR27:AR42)</f>
        <v>912648</v>
      </c>
      <c r="AS43" s="457"/>
      <c r="AT43" s="457">
        <f>SUM(AT27:AT42)</f>
        <v>881362</v>
      </c>
      <c r="AU43" s="439"/>
      <c r="AV43" s="457">
        <f>SUM(AV27:AV42)</f>
        <v>582328</v>
      </c>
      <c r="AW43" s="439"/>
      <c r="AX43" s="446">
        <f>SUM(AX27:AX42)</f>
        <v>478738</v>
      </c>
      <c r="AY43" s="439"/>
      <c r="AZ43" s="152"/>
      <c r="BA43" s="153"/>
      <c r="BB43" s="152"/>
      <c r="BC43" s="153"/>
      <c r="BD43" s="152"/>
      <c r="BE43" s="153"/>
      <c r="BF43" s="152"/>
      <c r="BG43" s="153"/>
      <c r="BH43" s="152"/>
      <c r="BI43" s="154"/>
      <c r="BJ43" s="152"/>
      <c r="BK43" s="153"/>
      <c r="BL43" s="152"/>
      <c r="BM43" s="154"/>
      <c r="BN43" s="152"/>
      <c r="BO43" s="153"/>
      <c r="BP43" s="152"/>
      <c r="BQ43" s="154"/>
    </row>
    <row r="44" spans="2:69" ht="28.5" customHeight="1" x14ac:dyDescent="0.2">
      <c r="D44" s="146"/>
      <c r="E44" s="146"/>
      <c r="F44" s="146"/>
      <c r="G44" s="146"/>
      <c r="H44" s="146"/>
      <c r="I44" s="146"/>
      <c r="J44" s="146"/>
      <c r="K44" s="146"/>
      <c r="L44" s="146"/>
      <c r="M44" s="146"/>
      <c r="N44" s="145"/>
      <c r="O44" s="145"/>
      <c r="P44" s="145"/>
      <c r="Q44" s="145"/>
      <c r="R44" s="145"/>
      <c r="S44" s="145"/>
      <c r="T44" s="146"/>
      <c r="U44" s="146"/>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row>
    <row r="45" spans="2:69" ht="25.15" customHeight="1" x14ac:dyDescent="0.2">
      <c r="B45" s="708" t="s">
        <v>123</v>
      </c>
      <c r="C45" s="708"/>
      <c r="D45" s="807" t="s">
        <v>2</v>
      </c>
      <c r="E45" s="808"/>
      <c r="F45" s="808"/>
      <c r="G45" s="808"/>
      <c r="H45" s="808"/>
      <c r="I45" s="808"/>
      <c r="J45" s="808"/>
      <c r="K45" s="808"/>
      <c r="L45" s="808"/>
      <c r="M45" s="808"/>
      <c r="N45" s="808"/>
      <c r="O45" s="808"/>
      <c r="P45" s="808"/>
      <c r="Q45" s="808"/>
      <c r="R45" s="808"/>
      <c r="S45" s="809"/>
      <c r="T45" s="711" t="s">
        <v>15</v>
      </c>
      <c r="U45" s="711"/>
      <c r="V45" s="711"/>
      <c r="W45" s="711"/>
      <c r="X45" s="711"/>
      <c r="Y45" s="711"/>
      <c r="Z45" s="711"/>
      <c r="AA45" s="711"/>
      <c r="AB45" s="711"/>
      <c r="AC45" s="711"/>
      <c r="AD45" s="711"/>
      <c r="AE45" s="711"/>
      <c r="AF45" s="711"/>
      <c r="AG45" s="711"/>
      <c r="AH45" s="711"/>
      <c r="AI45" s="712"/>
      <c r="AJ45" s="711" t="s">
        <v>12</v>
      </c>
      <c r="AK45" s="711"/>
      <c r="AL45" s="711"/>
      <c r="AM45" s="711"/>
      <c r="AN45" s="711"/>
      <c r="AO45" s="711"/>
      <c r="AP45" s="711"/>
      <c r="AQ45" s="711"/>
      <c r="AR45" s="711"/>
      <c r="AS45" s="711"/>
      <c r="AT45" s="711"/>
      <c r="AU45" s="711"/>
      <c r="AV45" s="711"/>
      <c r="AW45" s="711"/>
      <c r="AX45" s="711"/>
      <c r="AY45" s="321"/>
      <c r="AZ45" s="144"/>
      <c r="BA45" s="144"/>
      <c r="BB45" s="144"/>
      <c r="BC45" s="144"/>
      <c r="BD45" s="144"/>
      <c r="BE45" s="144"/>
      <c r="BF45" s="144"/>
      <c r="BG45" s="144"/>
      <c r="BH45" s="144"/>
      <c r="BI45" s="144"/>
      <c r="BJ45" s="144"/>
      <c r="BK45" s="144"/>
      <c r="BL45" s="144"/>
      <c r="BM45" s="144"/>
      <c r="BN45" s="144"/>
      <c r="BO45" s="144"/>
      <c r="BP45" s="144"/>
      <c r="BQ45" s="144"/>
    </row>
    <row r="46" spans="2:69" ht="25.15" customHeight="1" x14ac:dyDescent="0.2">
      <c r="B46" s="708"/>
      <c r="C46" s="708"/>
      <c r="D46" s="318">
        <v>2006</v>
      </c>
      <c r="E46" s="319"/>
      <c r="F46" s="319">
        <v>2007</v>
      </c>
      <c r="G46" s="319"/>
      <c r="H46" s="717">
        <v>2008</v>
      </c>
      <c r="I46" s="717"/>
      <c r="J46" s="717">
        <v>2009</v>
      </c>
      <c r="K46" s="717"/>
      <c r="L46" s="717">
        <v>2010</v>
      </c>
      <c r="M46" s="717"/>
      <c r="N46" s="717">
        <v>2011</v>
      </c>
      <c r="O46" s="717"/>
      <c r="P46" s="717">
        <v>2012</v>
      </c>
      <c r="Q46" s="717"/>
      <c r="R46" s="717">
        <v>2013</v>
      </c>
      <c r="S46" s="733"/>
      <c r="T46" s="319">
        <v>2006</v>
      </c>
      <c r="U46" s="319"/>
      <c r="V46" s="319">
        <v>2007</v>
      </c>
      <c r="W46" s="319"/>
      <c r="X46" s="717">
        <v>2008</v>
      </c>
      <c r="Y46" s="717"/>
      <c r="Z46" s="717">
        <v>2009</v>
      </c>
      <c r="AA46" s="717"/>
      <c r="AB46" s="717">
        <v>2010</v>
      </c>
      <c r="AC46" s="717"/>
      <c r="AD46" s="322">
        <v>2011</v>
      </c>
      <c r="AE46" s="322"/>
      <c r="AF46" s="322">
        <v>2012</v>
      </c>
      <c r="AG46" s="322"/>
      <c r="AH46" s="322">
        <v>2013</v>
      </c>
      <c r="AI46" s="323">
        <v>2010</v>
      </c>
      <c r="AJ46" s="219">
        <v>2006</v>
      </c>
      <c r="AK46" s="219"/>
      <c r="AL46" s="219">
        <v>2007</v>
      </c>
      <c r="AM46" s="219"/>
      <c r="AN46" s="721">
        <v>2008</v>
      </c>
      <c r="AO46" s="721"/>
      <c r="AP46" s="721">
        <v>2009</v>
      </c>
      <c r="AQ46" s="721"/>
      <c r="AR46" s="721">
        <v>2010</v>
      </c>
      <c r="AS46" s="721"/>
      <c r="AT46" s="721">
        <v>2011</v>
      </c>
      <c r="AU46" s="721"/>
      <c r="AV46" s="317">
        <v>2012</v>
      </c>
      <c r="AW46" s="219"/>
      <c r="AX46" s="317">
        <v>2013</v>
      </c>
      <c r="AY46" s="317">
        <v>2013</v>
      </c>
      <c r="AZ46" s="804"/>
      <c r="BA46" s="804"/>
      <c r="BB46" s="804"/>
      <c r="BC46" s="804"/>
      <c r="BD46" s="804"/>
      <c r="BE46" s="804"/>
      <c r="BF46" s="804"/>
      <c r="BG46" s="804"/>
      <c r="BH46" s="804"/>
      <c r="BI46" s="804"/>
      <c r="BJ46" s="804"/>
      <c r="BK46" s="804"/>
      <c r="BL46" s="804"/>
      <c r="BM46" s="804"/>
      <c r="BN46" s="804"/>
      <c r="BO46" s="804"/>
      <c r="BP46" s="804"/>
      <c r="BQ46" s="804"/>
    </row>
    <row r="47" spans="2:69" ht="25.15" customHeight="1" x14ac:dyDescent="0.2">
      <c r="B47" s="39"/>
      <c r="C47" s="434" t="s">
        <v>88</v>
      </c>
      <c r="D47" s="70">
        <v>0</v>
      </c>
      <c r="E47" s="70"/>
      <c r="F47" s="70">
        <v>2</v>
      </c>
      <c r="H47" s="1">
        <v>1</v>
      </c>
      <c r="J47" s="1">
        <v>3</v>
      </c>
      <c r="L47" s="4">
        <v>1</v>
      </c>
      <c r="M47" s="4"/>
      <c r="N47" s="70">
        <v>1</v>
      </c>
      <c r="O47" s="70"/>
      <c r="P47" s="70">
        <v>2</v>
      </c>
      <c r="Q47" s="17"/>
      <c r="R47" s="70">
        <v>2</v>
      </c>
      <c r="S47" s="70"/>
      <c r="T47" s="70">
        <v>0</v>
      </c>
      <c r="V47" s="70">
        <v>800</v>
      </c>
      <c r="X47" s="1">
        <v>800</v>
      </c>
      <c r="Z47" s="70">
        <v>2488</v>
      </c>
      <c r="AB47" s="4">
        <v>250</v>
      </c>
      <c r="AD47" s="248">
        <v>160</v>
      </c>
      <c r="AE47" s="17"/>
      <c r="AF47" s="248">
        <v>116</v>
      </c>
      <c r="AG47" s="17"/>
      <c r="AH47" s="248">
        <v>225</v>
      </c>
      <c r="AI47" s="4">
        <v>250</v>
      </c>
      <c r="AJ47" s="70">
        <v>0</v>
      </c>
      <c r="AL47" s="70">
        <v>6400</v>
      </c>
      <c r="AN47" s="70">
        <v>12800</v>
      </c>
      <c r="AP47" s="70">
        <v>19904</v>
      </c>
      <c r="AR47" s="67">
        <v>27968</v>
      </c>
      <c r="AS47" s="67"/>
      <c r="AT47" s="70">
        <v>1280</v>
      </c>
      <c r="AV47" s="17">
        <v>5104</v>
      </c>
      <c r="AX47" s="248">
        <v>6720</v>
      </c>
      <c r="AY47" s="314">
        <v>6720</v>
      </c>
      <c r="AZ47" s="159"/>
      <c r="BA47" s="147"/>
      <c r="BB47" s="148"/>
      <c r="BC47" s="148"/>
      <c r="BD47" s="160"/>
      <c r="BE47" s="148"/>
      <c r="BF47" s="147"/>
      <c r="BG47" s="148"/>
      <c r="BH47" s="147"/>
      <c r="BI47" s="148"/>
      <c r="BJ47" s="147"/>
      <c r="BK47" s="148"/>
      <c r="BL47" s="147"/>
      <c r="BM47" s="29"/>
      <c r="BN47" s="147"/>
      <c r="BO47" s="148"/>
      <c r="BP47" s="147"/>
      <c r="BQ47" s="29"/>
    </row>
    <row r="48" spans="2:69" ht="25.15" customHeight="1" x14ac:dyDescent="0.2">
      <c r="B48" s="39"/>
      <c r="C48" s="435" t="s">
        <v>18</v>
      </c>
      <c r="D48" s="70">
        <v>0</v>
      </c>
      <c r="E48" s="70"/>
      <c r="F48" s="70">
        <v>0</v>
      </c>
      <c r="H48" s="70">
        <v>0</v>
      </c>
      <c r="J48" s="1">
        <v>2</v>
      </c>
      <c r="L48" s="4">
        <v>0</v>
      </c>
      <c r="M48" s="4"/>
      <c r="N48" s="70">
        <v>1</v>
      </c>
      <c r="O48" s="70"/>
      <c r="P48" s="125">
        <v>1</v>
      </c>
      <c r="Q48" s="27"/>
      <c r="R48" s="248">
        <v>0</v>
      </c>
      <c r="S48" s="248"/>
      <c r="T48" s="70">
        <v>0</v>
      </c>
      <c r="V48" s="70">
        <v>0</v>
      </c>
      <c r="X48" s="70">
        <v>0</v>
      </c>
      <c r="Z48" s="70">
        <v>465</v>
      </c>
      <c r="AB48" s="4">
        <v>0</v>
      </c>
      <c r="AD48" s="248">
        <v>30</v>
      </c>
      <c r="AE48" s="17"/>
      <c r="AF48" s="248">
        <v>113</v>
      </c>
      <c r="AG48" s="17"/>
      <c r="AH48" s="248">
        <v>0</v>
      </c>
      <c r="AI48" s="4">
        <v>0</v>
      </c>
      <c r="AJ48" s="70">
        <v>0</v>
      </c>
      <c r="AL48" s="70">
        <v>0</v>
      </c>
      <c r="AN48" s="70">
        <v>0</v>
      </c>
      <c r="AP48" s="70">
        <v>15792</v>
      </c>
      <c r="AR48" s="67">
        <v>0</v>
      </c>
      <c r="AS48" s="67"/>
      <c r="AT48" s="70">
        <v>240</v>
      </c>
      <c r="AV48" s="70">
        <v>904</v>
      </c>
      <c r="AX48" s="248">
        <v>0</v>
      </c>
      <c r="AY48" s="314">
        <v>0</v>
      </c>
      <c r="AZ48" s="160"/>
      <c r="BA48" s="147"/>
      <c r="BB48" s="160"/>
      <c r="BC48" s="160"/>
      <c r="BD48" s="160"/>
      <c r="BE48" s="148"/>
      <c r="BF48" s="147"/>
      <c r="BG48" s="148"/>
      <c r="BH48" s="147"/>
      <c r="BI48" s="148"/>
      <c r="BJ48" s="147"/>
      <c r="BK48" s="148"/>
      <c r="BL48" s="147"/>
      <c r="BM48" s="29"/>
      <c r="BN48" s="147"/>
      <c r="BO48" s="148"/>
      <c r="BP48" s="147"/>
      <c r="BQ48" s="29"/>
    </row>
    <row r="49" spans="2:69" ht="25.15" customHeight="1" x14ac:dyDescent="0.2">
      <c r="B49" s="39"/>
      <c r="C49" s="435" t="s">
        <v>108</v>
      </c>
      <c r="D49" s="70">
        <v>10</v>
      </c>
      <c r="E49" s="70"/>
      <c r="F49" s="70">
        <v>29</v>
      </c>
      <c r="H49" s="70">
        <v>39</v>
      </c>
      <c r="J49" s="1">
        <v>33</v>
      </c>
      <c r="L49" s="4">
        <v>36</v>
      </c>
      <c r="M49" s="4"/>
      <c r="N49" s="70">
        <v>30</v>
      </c>
      <c r="O49" s="70"/>
      <c r="P49" s="70">
        <v>30</v>
      </c>
      <c r="Q49" s="17"/>
      <c r="R49" s="70">
        <v>33</v>
      </c>
      <c r="S49" s="70"/>
      <c r="T49" s="70">
        <v>2841</v>
      </c>
      <c r="V49" s="70">
        <v>41676</v>
      </c>
      <c r="X49" s="70">
        <v>28136</v>
      </c>
      <c r="Z49" s="70">
        <v>20577</v>
      </c>
      <c r="AB49" s="4">
        <v>16377</v>
      </c>
      <c r="AD49" s="248">
        <v>14416</v>
      </c>
      <c r="AE49" s="17"/>
      <c r="AF49" s="248">
        <v>9049</v>
      </c>
      <c r="AG49" s="17"/>
      <c r="AH49" s="248">
        <v>12144</v>
      </c>
      <c r="AI49" s="4">
        <v>16377</v>
      </c>
      <c r="AJ49" s="70">
        <v>82632</v>
      </c>
      <c r="AL49" s="70">
        <v>2057232</v>
      </c>
      <c r="AN49" s="70">
        <v>1418424</v>
      </c>
      <c r="AP49" s="70">
        <v>1034840</v>
      </c>
      <c r="AR49" s="67">
        <v>613540</v>
      </c>
      <c r="AS49" s="67"/>
      <c r="AT49" s="70">
        <v>1308808</v>
      </c>
      <c r="AV49" s="70">
        <v>1034080</v>
      </c>
      <c r="AX49" s="248">
        <v>1057074</v>
      </c>
      <c r="AY49" s="314">
        <v>1057074</v>
      </c>
      <c r="AZ49" s="159"/>
      <c r="BA49" s="147"/>
      <c r="BB49" s="160"/>
      <c r="BC49" s="160"/>
      <c r="BD49" s="160"/>
      <c r="BE49" s="148"/>
      <c r="BF49" s="147"/>
      <c r="BG49" s="148"/>
      <c r="BH49" s="147"/>
      <c r="BI49" s="148"/>
      <c r="BJ49" s="147"/>
      <c r="BK49" s="148"/>
      <c r="BL49" s="147"/>
      <c r="BM49" s="29"/>
      <c r="BN49" s="147"/>
      <c r="BO49" s="148"/>
      <c r="BP49" s="147"/>
      <c r="BQ49" s="29"/>
    </row>
    <row r="50" spans="2:69" ht="25.15" customHeight="1" x14ac:dyDescent="0.2">
      <c r="B50" s="39"/>
      <c r="C50" s="435" t="s">
        <v>131</v>
      </c>
      <c r="D50" s="70">
        <v>6</v>
      </c>
      <c r="E50" s="70"/>
      <c r="F50" s="70">
        <v>8</v>
      </c>
      <c r="H50" s="70">
        <v>8</v>
      </c>
      <c r="J50" s="1">
        <v>22</v>
      </c>
      <c r="L50" s="4">
        <v>22</v>
      </c>
      <c r="M50" s="4"/>
      <c r="N50" s="70">
        <v>24</v>
      </c>
      <c r="O50" s="70"/>
      <c r="P50" s="70">
        <v>13</v>
      </c>
      <c r="Q50" s="17"/>
      <c r="R50" s="70">
        <v>28</v>
      </c>
      <c r="S50" s="70"/>
      <c r="T50" s="70">
        <v>702</v>
      </c>
      <c r="V50" s="70">
        <v>1089</v>
      </c>
      <c r="X50" s="70">
        <v>610</v>
      </c>
      <c r="Z50" s="70">
        <v>7242</v>
      </c>
      <c r="AB50" s="4">
        <v>6199</v>
      </c>
      <c r="AD50" s="248">
        <v>5858</v>
      </c>
      <c r="AE50" s="17"/>
      <c r="AF50" s="248">
        <v>5286</v>
      </c>
      <c r="AG50" s="17"/>
      <c r="AH50" s="248">
        <v>6388</v>
      </c>
      <c r="AI50" s="4">
        <v>6199</v>
      </c>
      <c r="AJ50" s="70">
        <v>17832</v>
      </c>
      <c r="AL50" s="70">
        <v>24368</v>
      </c>
      <c r="AN50" s="70">
        <v>40856</v>
      </c>
      <c r="AP50" s="70">
        <v>284576</v>
      </c>
      <c r="AR50" s="67">
        <v>341952</v>
      </c>
      <c r="AS50" s="67"/>
      <c r="AT50" s="70">
        <v>328816</v>
      </c>
      <c r="AV50" s="70">
        <v>212656</v>
      </c>
      <c r="AX50" s="248">
        <v>269400</v>
      </c>
      <c r="AY50" s="314">
        <v>269400</v>
      </c>
      <c r="AZ50" s="159"/>
      <c r="BA50" s="147"/>
      <c r="BB50" s="160"/>
      <c r="BC50" s="160"/>
      <c r="BD50" s="160"/>
      <c r="BE50" s="148"/>
      <c r="BF50" s="147"/>
      <c r="BG50" s="148"/>
      <c r="BH50" s="147"/>
      <c r="BI50" s="148"/>
      <c r="BJ50" s="147"/>
      <c r="BK50" s="148"/>
      <c r="BL50" s="147"/>
      <c r="BM50" s="29"/>
      <c r="BN50" s="147"/>
      <c r="BO50" s="148"/>
      <c r="BP50" s="147"/>
      <c r="BQ50" s="29"/>
    </row>
    <row r="51" spans="2:69" ht="25.15" customHeight="1" x14ac:dyDescent="0.2">
      <c r="B51" s="39"/>
      <c r="C51" s="435" t="s">
        <v>89</v>
      </c>
      <c r="D51" s="70">
        <v>12</v>
      </c>
      <c r="E51" s="70"/>
      <c r="F51" s="70">
        <v>3</v>
      </c>
      <c r="H51" s="70">
        <v>2</v>
      </c>
      <c r="J51" s="1">
        <v>2</v>
      </c>
      <c r="L51" s="267">
        <v>5</v>
      </c>
      <c r="M51" s="4"/>
      <c r="N51" s="70">
        <v>2</v>
      </c>
      <c r="O51" s="70"/>
      <c r="P51" s="70">
        <v>2</v>
      </c>
      <c r="Q51" s="17"/>
      <c r="R51" s="70">
        <v>2</v>
      </c>
      <c r="S51" s="70"/>
      <c r="T51" s="70">
        <v>5686</v>
      </c>
      <c r="V51" s="70">
        <v>518</v>
      </c>
      <c r="X51" s="70">
        <v>913</v>
      </c>
      <c r="Z51" s="70">
        <v>229</v>
      </c>
      <c r="AB51" s="4">
        <v>2493</v>
      </c>
      <c r="AD51" s="248">
        <v>1660</v>
      </c>
      <c r="AE51" s="17"/>
      <c r="AF51" s="248">
        <v>279</v>
      </c>
      <c r="AG51" s="17"/>
      <c r="AH51" s="248">
        <v>190</v>
      </c>
      <c r="AI51" s="4">
        <v>2493</v>
      </c>
      <c r="AJ51" s="70">
        <v>42958</v>
      </c>
      <c r="AL51" s="70">
        <v>9776</v>
      </c>
      <c r="AN51" s="70">
        <v>9112</v>
      </c>
      <c r="AP51" s="70">
        <v>1658</v>
      </c>
      <c r="AR51" s="67">
        <v>53048</v>
      </c>
      <c r="AS51" s="67"/>
      <c r="AT51" s="70">
        <v>39160</v>
      </c>
      <c r="AV51" s="70">
        <v>2896</v>
      </c>
      <c r="AX51" s="248">
        <v>1520</v>
      </c>
      <c r="AY51" s="314">
        <v>1520</v>
      </c>
      <c r="AZ51" s="161"/>
      <c r="BA51" s="147"/>
      <c r="BB51" s="160"/>
      <c r="BC51" s="160"/>
      <c r="BD51" s="160"/>
      <c r="BE51" s="148"/>
      <c r="BF51" s="147"/>
      <c r="BG51" s="148"/>
      <c r="BH51" s="147"/>
      <c r="BI51" s="148"/>
      <c r="BJ51" s="147"/>
      <c r="BK51" s="148"/>
      <c r="BL51" s="147"/>
      <c r="BM51" s="29"/>
      <c r="BN51" s="147"/>
      <c r="BO51" s="148"/>
      <c r="BP51" s="147"/>
      <c r="BQ51" s="29"/>
    </row>
    <row r="52" spans="2:69" ht="25.15" customHeight="1" x14ac:dyDescent="0.2">
      <c r="B52" s="39"/>
      <c r="C52" s="435" t="s">
        <v>109</v>
      </c>
      <c r="D52" s="70">
        <v>9</v>
      </c>
      <c r="E52" s="70"/>
      <c r="F52" s="70">
        <v>9</v>
      </c>
      <c r="H52" s="70">
        <v>4</v>
      </c>
      <c r="J52" s="1">
        <v>14</v>
      </c>
      <c r="L52" s="4">
        <v>4</v>
      </c>
      <c r="M52" s="4"/>
      <c r="N52" s="70">
        <v>10</v>
      </c>
      <c r="O52" s="70"/>
      <c r="P52" s="70">
        <v>5</v>
      </c>
      <c r="Q52" s="17"/>
      <c r="R52" s="70">
        <v>2</v>
      </c>
      <c r="S52" s="70"/>
      <c r="T52" s="70">
        <v>550</v>
      </c>
      <c r="V52" s="70">
        <v>730</v>
      </c>
      <c r="X52" s="70">
        <v>577</v>
      </c>
      <c r="Z52" s="70">
        <v>1359</v>
      </c>
      <c r="AB52" s="4">
        <v>530</v>
      </c>
      <c r="AD52" s="248">
        <v>2629</v>
      </c>
      <c r="AE52" s="17"/>
      <c r="AF52" s="248">
        <v>250</v>
      </c>
      <c r="AG52" s="17"/>
      <c r="AH52" s="248">
        <v>482</v>
      </c>
      <c r="AI52" s="4">
        <v>530</v>
      </c>
      <c r="AJ52" s="70">
        <v>20440</v>
      </c>
      <c r="AL52" s="70">
        <v>25792</v>
      </c>
      <c r="AN52" s="70">
        <v>7680</v>
      </c>
      <c r="AP52" s="70">
        <v>31960</v>
      </c>
      <c r="AR52" s="67">
        <v>20040</v>
      </c>
      <c r="AS52" s="67"/>
      <c r="AT52" s="70">
        <v>33496</v>
      </c>
      <c r="AV52" s="70">
        <v>3520</v>
      </c>
      <c r="AX52" s="248">
        <v>10576</v>
      </c>
      <c r="AY52" s="314">
        <v>10576</v>
      </c>
      <c r="AZ52" s="159"/>
      <c r="BA52" s="147"/>
      <c r="BB52" s="160"/>
      <c r="BC52" s="160"/>
      <c r="BD52" s="160"/>
      <c r="BE52" s="148"/>
      <c r="BF52" s="147"/>
      <c r="BG52" s="148"/>
      <c r="BH52" s="147"/>
      <c r="BI52" s="148"/>
      <c r="BJ52" s="147"/>
      <c r="BK52" s="148"/>
      <c r="BL52" s="147"/>
      <c r="BM52" s="29"/>
      <c r="BN52" s="147"/>
      <c r="BO52" s="148"/>
      <c r="BP52" s="147"/>
      <c r="BQ52" s="29"/>
    </row>
    <row r="53" spans="2:69" ht="25.15" customHeight="1" x14ac:dyDescent="0.2">
      <c r="B53" s="39"/>
      <c r="C53" s="435" t="s">
        <v>141</v>
      </c>
      <c r="D53" s="70">
        <v>2</v>
      </c>
      <c r="E53" s="70"/>
      <c r="F53" s="70">
        <v>0</v>
      </c>
      <c r="H53" s="70">
        <v>0</v>
      </c>
      <c r="J53" s="70">
        <v>0</v>
      </c>
      <c r="L53" s="267">
        <v>4</v>
      </c>
      <c r="M53" s="4"/>
      <c r="N53" s="70">
        <v>2</v>
      </c>
      <c r="O53" s="70"/>
      <c r="P53" s="70">
        <v>5</v>
      </c>
      <c r="Q53" s="17"/>
      <c r="R53" s="70">
        <v>3</v>
      </c>
      <c r="S53" s="70"/>
      <c r="T53" s="70">
        <v>306</v>
      </c>
      <c r="V53" s="70">
        <v>0</v>
      </c>
      <c r="X53" s="70">
        <v>0</v>
      </c>
      <c r="Z53" s="70">
        <v>0</v>
      </c>
      <c r="AB53" s="4">
        <v>698</v>
      </c>
      <c r="AD53" s="248">
        <v>96</v>
      </c>
      <c r="AE53" s="17"/>
      <c r="AF53" s="248">
        <v>1151</v>
      </c>
      <c r="AG53" s="17"/>
      <c r="AH53" s="248">
        <v>1737</v>
      </c>
      <c r="AI53" s="4">
        <v>698</v>
      </c>
      <c r="AJ53" s="70">
        <v>2448</v>
      </c>
      <c r="AL53" s="70">
        <v>0</v>
      </c>
      <c r="AN53" s="70">
        <v>0</v>
      </c>
      <c r="AP53" s="70">
        <v>0</v>
      </c>
      <c r="AR53" s="67">
        <v>6208</v>
      </c>
      <c r="AS53" s="67"/>
      <c r="AT53" s="70">
        <v>1520</v>
      </c>
      <c r="AV53" s="70">
        <v>11496</v>
      </c>
      <c r="AX53" s="248">
        <v>41688</v>
      </c>
      <c r="AY53" s="314">
        <v>41688</v>
      </c>
      <c r="AZ53" s="160"/>
      <c r="BA53" s="147"/>
      <c r="BB53" s="160"/>
      <c r="BC53" s="160"/>
      <c r="BD53" s="160"/>
      <c r="BE53" s="148"/>
      <c r="BF53" s="147"/>
      <c r="BG53" s="148"/>
      <c r="BH53" s="147"/>
      <c r="BI53" s="148"/>
      <c r="BJ53" s="147"/>
      <c r="BK53" s="148"/>
      <c r="BL53" s="147"/>
      <c r="BM53" s="29"/>
      <c r="BN53" s="147"/>
      <c r="BO53" s="148"/>
      <c r="BP53" s="147"/>
      <c r="BQ53" s="29"/>
    </row>
    <row r="54" spans="2:69" ht="25.15" customHeight="1" x14ac:dyDescent="0.2">
      <c r="B54" s="39"/>
      <c r="C54" s="435" t="s">
        <v>93</v>
      </c>
      <c r="D54" s="70">
        <v>0</v>
      </c>
      <c r="E54" s="70"/>
      <c r="F54" s="70">
        <v>0</v>
      </c>
      <c r="H54" s="70">
        <v>0</v>
      </c>
      <c r="J54" s="70">
        <v>0</v>
      </c>
      <c r="L54" s="4">
        <v>0</v>
      </c>
      <c r="M54" s="4"/>
      <c r="N54" s="248">
        <v>0</v>
      </c>
      <c r="O54" s="70"/>
      <c r="P54" s="248">
        <v>0</v>
      </c>
      <c r="Q54" s="17"/>
      <c r="R54" s="248">
        <v>0</v>
      </c>
      <c r="S54" s="248"/>
      <c r="T54" s="70">
        <v>0</v>
      </c>
      <c r="V54" s="70">
        <v>0</v>
      </c>
      <c r="X54" s="70">
        <v>0</v>
      </c>
      <c r="Z54" s="70">
        <v>0</v>
      </c>
      <c r="AB54" s="267">
        <v>0</v>
      </c>
      <c r="AD54" s="503">
        <v>0</v>
      </c>
      <c r="AE54" s="17"/>
      <c r="AF54" s="503">
        <v>0</v>
      </c>
      <c r="AG54" s="17"/>
      <c r="AH54" s="248">
        <v>0</v>
      </c>
      <c r="AI54" s="267">
        <v>0</v>
      </c>
      <c r="AJ54" s="70">
        <v>0</v>
      </c>
      <c r="AL54" s="70">
        <v>0</v>
      </c>
      <c r="AN54" s="70">
        <v>0</v>
      </c>
      <c r="AP54" s="70">
        <v>0</v>
      </c>
      <c r="AR54" s="67">
        <v>0</v>
      </c>
      <c r="AS54" s="67"/>
      <c r="AT54" s="17">
        <v>0</v>
      </c>
      <c r="AV54" s="248">
        <v>0</v>
      </c>
      <c r="AX54" s="248">
        <v>0</v>
      </c>
      <c r="AY54" s="314">
        <v>0</v>
      </c>
      <c r="AZ54" s="159"/>
      <c r="BA54" s="147"/>
      <c r="BB54" s="160"/>
      <c r="BC54" s="160"/>
      <c r="BD54" s="160"/>
      <c r="BE54" s="148"/>
      <c r="BF54" s="147"/>
      <c r="BG54" s="148"/>
      <c r="BH54" s="147"/>
      <c r="BI54" s="148"/>
      <c r="BJ54" s="147"/>
      <c r="BK54" s="148"/>
      <c r="BL54" s="147"/>
      <c r="BM54" s="29"/>
      <c r="BN54" s="147"/>
      <c r="BO54" s="148"/>
      <c r="BP54" s="147"/>
      <c r="BQ54" s="29"/>
    </row>
    <row r="55" spans="2:69" ht="25.15" customHeight="1" x14ac:dyDescent="0.2">
      <c r="B55" s="39"/>
      <c r="C55" s="435" t="s">
        <v>144</v>
      </c>
      <c r="D55" s="70">
        <v>13</v>
      </c>
      <c r="E55" s="70"/>
      <c r="F55" s="70">
        <v>13</v>
      </c>
      <c r="H55" s="70">
        <v>3</v>
      </c>
      <c r="J55" s="1">
        <v>9</v>
      </c>
      <c r="L55" s="267">
        <v>4</v>
      </c>
      <c r="M55" s="4"/>
      <c r="N55" s="70">
        <v>8</v>
      </c>
      <c r="O55" s="70"/>
      <c r="P55" s="70">
        <v>5</v>
      </c>
      <c r="Q55" s="17"/>
      <c r="R55" s="70">
        <v>8</v>
      </c>
      <c r="S55" s="70"/>
      <c r="T55" s="70">
        <v>4971</v>
      </c>
      <c r="V55" s="70">
        <v>2736</v>
      </c>
      <c r="X55" s="70">
        <v>908</v>
      </c>
      <c r="Z55" s="70">
        <v>1957</v>
      </c>
      <c r="AB55" s="4">
        <v>2731</v>
      </c>
      <c r="AD55" s="503">
        <v>1098</v>
      </c>
      <c r="AE55" s="17"/>
      <c r="AF55" s="503">
        <v>1126</v>
      </c>
      <c r="AG55" s="17"/>
      <c r="AH55" s="248">
        <v>847</v>
      </c>
      <c r="AI55" s="4">
        <v>2731</v>
      </c>
      <c r="AJ55" s="70">
        <v>86458</v>
      </c>
      <c r="AL55" s="70">
        <v>87632</v>
      </c>
      <c r="AN55" s="70">
        <v>9576</v>
      </c>
      <c r="AP55" s="70">
        <v>36272</v>
      </c>
      <c r="AR55" s="67">
        <v>190584</v>
      </c>
      <c r="AS55" s="67"/>
      <c r="AT55" s="70">
        <v>53424</v>
      </c>
      <c r="AV55" s="70">
        <v>108966</v>
      </c>
      <c r="AX55" s="248">
        <v>18008</v>
      </c>
      <c r="AY55" s="314">
        <v>18008</v>
      </c>
      <c r="AZ55" s="160"/>
      <c r="BA55" s="147"/>
      <c r="BB55" s="160"/>
      <c r="BC55" s="160"/>
      <c r="BD55" s="160"/>
      <c r="BE55" s="148"/>
      <c r="BF55" s="147"/>
      <c r="BG55" s="148"/>
      <c r="BH55" s="147"/>
      <c r="BI55" s="148"/>
      <c r="BJ55" s="147"/>
      <c r="BK55" s="148"/>
      <c r="BL55" s="147"/>
      <c r="BM55" s="29"/>
      <c r="BN55" s="147"/>
      <c r="BO55" s="148"/>
      <c r="BP55" s="147"/>
      <c r="BQ55" s="29"/>
    </row>
    <row r="56" spans="2:69" ht="25.15" customHeight="1" x14ac:dyDescent="0.2">
      <c r="B56" s="39"/>
      <c r="C56" s="435" t="s">
        <v>110</v>
      </c>
      <c r="D56" s="70">
        <v>0</v>
      </c>
      <c r="E56" s="70"/>
      <c r="F56" s="70">
        <v>1</v>
      </c>
      <c r="H56" s="70">
        <v>0</v>
      </c>
      <c r="J56" s="70">
        <v>0</v>
      </c>
      <c r="L56" s="267">
        <v>0</v>
      </c>
      <c r="M56" s="4"/>
      <c r="N56" s="70">
        <v>1</v>
      </c>
      <c r="O56" s="70"/>
      <c r="P56" s="70">
        <v>4</v>
      </c>
      <c r="Q56" s="17"/>
      <c r="R56" s="70">
        <v>1</v>
      </c>
      <c r="S56" s="70"/>
      <c r="T56" s="70">
        <v>0</v>
      </c>
      <c r="V56" s="70">
        <v>8</v>
      </c>
      <c r="X56" s="70">
        <v>0</v>
      </c>
      <c r="Z56" s="70">
        <v>0</v>
      </c>
      <c r="AB56" s="267">
        <v>0</v>
      </c>
      <c r="AD56" s="503">
        <v>70</v>
      </c>
      <c r="AE56" s="17"/>
      <c r="AF56" s="503">
        <v>352</v>
      </c>
      <c r="AG56" s="17"/>
      <c r="AH56" s="248">
        <v>1374</v>
      </c>
      <c r="AI56" s="267">
        <v>0</v>
      </c>
      <c r="AJ56" s="70">
        <v>0</v>
      </c>
      <c r="AL56" s="70">
        <v>64</v>
      </c>
      <c r="AN56" s="70">
        <v>0</v>
      </c>
      <c r="AP56" s="70">
        <v>0</v>
      </c>
      <c r="AR56" s="67">
        <v>0</v>
      </c>
      <c r="AS56" s="67"/>
      <c r="AT56" s="70">
        <v>1120</v>
      </c>
      <c r="AV56" s="70">
        <v>4192</v>
      </c>
      <c r="AX56" s="248">
        <v>30856</v>
      </c>
      <c r="AY56" s="314">
        <v>30856</v>
      </c>
      <c r="AZ56" s="160"/>
      <c r="BA56" s="147"/>
      <c r="BB56" s="160"/>
      <c r="BC56" s="160"/>
      <c r="BD56" s="160"/>
      <c r="BE56" s="148"/>
      <c r="BF56" s="147"/>
      <c r="BG56" s="148"/>
      <c r="BH56" s="147"/>
      <c r="BI56" s="148"/>
      <c r="BJ56" s="147"/>
      <c r="BK56" s="148"/>
      <c r="BL56" s="147"/>
      <c r="BM56" s="29"/>
      <c r="BN56" s="147"/>
      <c r="BO56" s="148"/>
      <c r="BP56" s="147"/>
      <c r="BQ56" s="29"/>
    </row>
    <row r="57" spans="2:69" ht="25.15" customHeight="1" x14ac:dyDescent="0.2">
      <c r="B57" s="39"/>
      <c r="C57" s="434" t="s">
        <v>91</v>
      </c>
      <c r="D57" s="70">
        <v>7</v>
      </c>
      <c r="E57" s="70"/>
      <c r="F57" s="70">
        <v>2</v>
      </c>
      <c r="H57" s="70">
        <v>1</v>
      </c>
      <c r="J57" s="70">
        <v>0</v>
      </c>
      <c r="L57" s="4">
        <v>0</v>
      </c>
      <c r="M57" s="4"/>
      <c r="N57" s="70">
        <v>1</v>
      </c>
      <c r="O57" s="70"/>
      <c r="P57" s="70">
        <v>2</v>
      </c>
      <c r="Q57" s="17"/>
      <c r="R57" s="70">
        <v>1</v>
      </c>
      <c r="S57" s="70"/>
      <c r="T57" s="70">
        <v>3387</v>
      </c>
      <c r="V57" s="70">
        <v>100</v>
      </c>
      <c r="X57" s="70">
        <v>57</v>
      </c>
      <c r="Z57" s="70">
        <v>0</v>
      </c>
      <c r="AB57" s="4">
        <v>0</v>
      </c>
      <c r="AD57" s="503">
        <v>64</v>
      </c>
      <c r="AE57" s="17"/>
      <c r="AF57" s="503">
        <v>320</v>
      </c>
      <c r="AG57" s="17"/>
      <c r="AH57" s="248">
        <v>334</v>
      </c>
      <c r="AI57" s="4">
        <v>0</v>
      </c>
      <c r="AJ57" s="70">
        <v>185184</v>
      </c>
      <c r="AL57" s="70">
        <v>800</v>
      </c>
      <c r="AN57" s="70">
        <v>1368</v>
      </c>
      <c r="AP57" s="70">
        <v>0</v>
      </c>
      <c r="AR57" s="67">
        <v>0</v>
      </c>
      <c r="AS57" s="67"/>
      <c r="AT57" s="70">
        <v>512</v>
      </c>
      <c r="AV57" s="70">
        <v>10688</v>
      </c>
      <c r="AX57" s="248">
        <v>13360</v>
      </c>
      <c r="AY57" s="314">
        <v>13360</v>
      </c>
      <c r="AZ57" s="159"/>
      <c r="BA57" s="147"/>
      <c r="BB57" s="160"/>
      <c r="BC57" s="160"/>
      <c r="BD57" s="160"/>
      <c r="BE57" s="148"/>
      <c r="BF57" s="147"/>
      <c r="BG57" s="148"/>
      <c r="BH57" s="147"/>
      <c r="BI57" s="148"/>
      <c r="BJ57" s="147"/>
      <c r="BK57" s="148"/>
      <c r="BL57" s="147"/>
      <c r="BM57" s="29"/>
      <c r="BN57" s="147"/>
      <c r="BO57" s="148"/>
      <c r="BP57" s="147"/>
      <c r="BQ57" s="29"/>
    </row>
    <row r="58" spans="2:69" ht="25.15" customHeight="1" x14ac:dyDescent="0.2">
      <c r="B58" s="39"/>
      <c r="C58" s="434" t="s">
        <v>111</v>
      </c>
      <c r="D58" s="70">
        <v>6</v>
      </c>
      <c r="E58" s="70"/>
      <c r="F58" s="70">
        <v>4</v>
      </c>
      <c r="H58" s="70">
        <v>1</v>
      </c>
      <c r="J58" s="1">
        <v>4</v>
      </c>
      <c r="L58" s="4">
        <v>5</v>
      </c>
      <c r="M58" s="4"/>
      <c r="N58" s="70">
        <v>3</v>
      </c>
      <c r="O58" s="70"/>
      <c r="P58" s="70">
        <v>12</v>
      </c>
      <c r="Q58" s="17"/>
      <c r="R58" s="70">
        <v>7</v>
      </c>
      <c r="S58" s="70"/>
      <c r="T58" s="70">
        <v>956</v>
      </c>
      <c r="V58" s="70">
        <v>386</v>
      </c>
      <c r="X58" s="70">
        <v>341</v>
      </c>
      <c r="Z58" s="70">
        <v>892</v>
      </c>
      <c r="AB58" s="4">
        <v>1083</v>
      </c>
      <c r="AD58" s="503">
        <v>655</v>
      </c>
      <c r="AE58" s="17"/>
      <c r="AF58" s="503">
        <v>3555</v>
      </c>
      <c r="AG58" s="17"/>
      <c r="AH58" s="248">
        <v>771</v>
      </c>
      <c r="AI58" s="4">
        <v>1083</v>
      </c>
      <c r="AJ58" s="70">
        <v>7304</v>
      </c>
      <c r="AL58" s="70">
        <v>4032</v>
      </c>
      <c r="AN58" s="70">
        <v>8192</v>
      </c>
      <c r="AP58" s="70">
        <v>13088</v>
      </c>
      <c r="AR58" s="67">
        <v>20512</v>
      </c>
      <c r="AS58" s="67"/>
      <c r="AT58" s="70">
        <v>30496</v>
      </c>
      <c r="AV58" s="70">
        <v>29624</v>
      </c>
      <c r="AX58" s="248">
        <v>27688</v>
      </c>
      <c r="AY58" s="314">
        <v>27688</v>
      </c>
      <c r="AZ58" s="159"/>
      <c r="BA58" s="147"/>
      <c r="BB58" s="160"/>
      <c r="BC58" s="160"/>
      <c r="BD58" s="160"/>
      <c r="BE58" s="148"/>
      <c r="BF58" s="147"/>
      <c r="BG58" s="148"/>
      <c r="BH58" s="147"/>
      <c r="BI58" s="148"/>
      <c r="BJ58" s="147"/>
      <c r="BK58" s="148"/>
      <c r="BL58" s="147"/>
      <c r="BM58" s="29"/>
      <c r="BN58" s="147"/>
      <c r="BO58" s="148"/>
      <c r="BP58" s="147"/>
      <c r="BQ58" s="29"/>
    </row>
    <row r="59" spans="2:69" ht="25.15" customHeight="1" x14ac:dyDescent="0.2">
      <c r="B59" s="39"/>
      <c r="C59" s="435" t="s">
        <v>19</v>
      </c>
      <c r="D59" s="70">
        <v>1</v>
      </c>
      <c r="E59" s="70"/>
      <c r="F59" s="70">
        <v>2</v>
      </c>
      <c r="H59" s="70">
        <v>2</v>
      </c>
      <c r="J59" s="1">
        <v>3</v>
      </c>
      <c r="L59" s="267">
        <v>0</v>
      </c>
      <c r="M59" s="4"/>
      <c r="N59" s="70">
        <v>1</v>
      </c>
      <c r="O59" s="70"/>
      <c r="P59" s="70">
        <v>1</v>
      </c>
      <c r="Q59" s="17"/>
      <c r="R59" s="70">
        <v>2</v>
      </c>
      <c r="S59" s="70"/>
      <c r="T59" s="70">
        <v>148</v>
      </c>
      <c r="V59" s="70">
        <v>53</v>
      </c>
      <c r="X59" s="70">
        <v>143</v>
      </c>
      <c r="Z59" s="70">
        <v>520</v>
      </c>
      <c r="AB59" s="4">
        <v>0</v>
      </c>
      <c r="AD59" s="503">
        <v>34</v>
      </c>
      <c r="AE59" s="17"/>
      <c r="AF59" s="503">
        <v>15</v>
      </c>
      <c r="AG59" s="17"/>
      <c r="AH59" s="248">
        <v>601</v>
      </c>
      <c r="AI59" s="4">
        <v>0</v>
      </c>
      <c r="AJ59" s="70">
        <v>1184</v>
      </c>
      <c r="AL59" s="70">
        <v>424</v>
      </c>
      <c r="AN59" s="70">
        <v>1144</v>
      </c>
      <c r="AP59" s="70">
        <v>4160</v>
      </c>
      <c r="AR59" s="67">
        <v>0</v>
      </c>
      <c r="AS59" s="67"/>
      <c r="AT59" s="70">
        <v>544</v>
      </c>
      <c r="AV59" s="70">
        <v>120</v>
      </c>
      <c r="AX59" s="248">
        <v>31344</v>
      </c>
      <c r="AY59" s="314">
        <v>31344</v>
      </c>
      <c r="AZ59" s="160"/>
      <c r="BA59" s="147"/>
      <c r="BB59" s="160"/>
      <c r="BC59" s="160"/>
      <c r="BD59" s="160"/>
      <c r="BE59" s="148"/>
      <c r="BF59" s="147"/>
      <c r="BG59" s="148"/>
      <c r="BH59" s="147"/>
      <c r="BI59" s="148"/>
      <c r="BJ59" s="147"/>
      <c r="BK59" s="148"/>
      <c r="BL59" s="147"/>
      <c r="BM59" s="29"/>
      <c r="BN59" s="147"/>
      <c r="BO59" s="148"/>
      <c r="BP59" s="147"/>
      <c r="BQ59" s="29"/>
    </row>
    <row r="60" spans="2:69" ht="25.15" customHeight="1" x14ac:dyDescent="0.2">
      <c r="B60" s="39"/>
      <c r="C60" s="435" t="s">
        <v>46</v>
      </c>
      <c r="D60" s="70">
        <v>1</v>
      </c>
      <c r="E60" s="70"/>
      <c r="F60" s="70">
        <v>0</v>
      </c>
      <c r="H60" s="70">
        <v>1</v>
      </c>
      <c r="J60" s="1">
        <v>7</v>
      </c>
      <c r="L60" s="267">
        <v>1</v>
      </c>
      <c r="M60" s="4"/>
      <c r="N60" s="248">
        <v>0</v>
      </c>
      <c r="O60" s="70"/>
      <c r="P60" s="70">
        <v>3</v>
      </c>
      <c r="Q60" s="17"/>
      <c r="R60" s="70">
        <v>3</v>
      </c>
      <c r="S60" s="70"/>
      <c r="T60" s="70">
        <v>18</v>
      </c>
      <c r="V60" s="70">
        <v>0</v>
      </c>
      <c r="X60" s="70">
        <v>100</v>
      </c>
      <c r="Z60" s="70">
        <v>385</v>
      </c>
      <c r="AB60" s="4">
        <v>22</v>
      </c>
      <c r="AD60" s="503">
        <v>0</v>
      </c>
      <c r="AE60" s="17"/>
      <c r="AF60" s="503">
        <v>4085</v>
      </c>
      <c r="AG60" s="17"/>
      <c r="AH60" s="248">
        <v>1567</v>
      </c>
      <c r="AI60" s="4">
        <v>22</v>
      </c>
      <c r="AJ60" s="70">
        <v>144</v>
      </c>
      <c r="AL60" s="70">
        <v>0</v>
      </c>
      <c r="AN60" s="70">
        <v>400</v>
      </c>
      <c r="AP60" s="70">
        <v>10216</v>
      </c>
      <c r="AR60" s="67">
        <v>176</v>
      </c>
      <c r="AS60" s="67"/>
      <c r="AT60" s="17">
        <v>0</v>
      </c>
      <c r="AV60" s="70">
        <v>439154</v>
      </c>
      <c r="AX60" s="248">
        <v>62952</v>
      </c>
      <c r="AY60" s="314">
        <v>62952</v>
      </c>
      <c r="AZ60" s="160"/>
      <c r="BA60" s="147"/>
      <c r="BB60" s="160"/>
      <c r="BC60" s="160"/>
      <c r="BD60" s="160"/>
      <c r="BE60" s="148"/>
      <c r="BF60" s="147"/>
      <c r="BG60" s="148"/>
      <c r="BH60" s="147"/>
      <c r="BI60" s="148"/>
      <c r="BJ60" s="147"/>
      <c r="BK60" s="148"/>
      <c r="BL60" s="147"/>
      <c r="BM60" s="29"/>
      <c r="BN60" s="147"/>
      <c r="BO60" s="148"/>
      <c r="BP60" s="147"/>
      <c r="BQ60" s="29"/>
    </row>
    <row r="61" spans="2:69" ht="25.15" customHeight="1" x14ac:dyDescent="0.2">
      <c r="B61" s="39"/>
      <c r="C61" s="435" t="s">
        <v>142</v>
      </c>
      <c r="D61" s="70">
        <v>0</v>
      </c>
      <c r="E61" s="70"/>
      <c r="F61" s="70">
        <v>0</v>
      </c>
      <c r="H61" s="70">
        <v>0</v>
      </c>
      <c r="J61" s="70">
        <v>0</v>
      </c>
      <c r="L61" s="267">
        <v>1</v>
      </c>
      <c r="M61" s="4"/>
      <c r="N61" s="248">
        <v>0</v>
      </c>
      <c r="O61" s="70"/>
      <c r="P61" s="70">
        <v>4</v>
      </c>
      <c r="Q61" s="17"/>
      <c r="R61" s="70">
        <v>2</v>
      </c>
      <c r="S61" s="70"/>
      <c r="T61" s="70">
        <v>0</v>
      </c>
      <c r="V61" s="70">
        <v>0</v>
      </c>
      <c r="X61" s="70">
        <v>0</v>
      </c>
      <c r="Z61" s="70">
        <v>0</v>
      </c>
      <c r="AB61" s="4">
        <v>223</v>
      </c>
      <c r="AD61" s="503">
        <v>0</v>
      </c>
      <c r="AE61" s="17"/>
      <c r="AF61" s="503">
        <v>148</v>
      </c>
      <c r="AG61" s="17"/>
      <c r="AH61" s="248">
        <v>76</v>
      </c>
      <c r="AI61" s="4">
        <v>223</v>
      </c>
      <c r="AJ61" s="70">
        <v>0</v>
      </c>
      <c r="AL61" s="70">
        <v>0</v>
      </c>
      <c r="AN61" s="70">
        <v>0</v>
      </c>
      <c r="AP61" s="70">
        <v>0</v>
      </c>
      <c r="AR61" s="67">
        <v>5352</v>
      </c>
      <c r="AS61" s="67"/>
      <c r="AT61" s="17">
        <v>0</v>
      </c>
      <c r="AV61" s="70">
        <v>15296</v>
      </c>
      <c r="AX61" s="248">
        <v>2016</v>
      </c>
      <c r="AY61" s="314">
        <v>2016</v>
      </c>
      <c r="AZ61" s="160"/>
      <c r="BA61" s="147"/>
      <c r="BB61" s="160"/>
      <c r="BC61" s="160"/>
      <c r="BD61" s="160"/>
      <c r="BE61" s="148"/>
      <c r="BF61" s="147"/>
      <c r="BG61" s="148"/>
      <c r="BH61" s="147"/>
      <c r="BI61" s="148"/>
      <c r="BJ61" s="147"/>
      <c r="BK61" s="148"/>
      <c r="BL61" s="147"/>
      <c r="BM61" s="29"/>
      <c r="BN61" s="147"/>
      <c r="BO61" s="148"/>
      <c r="BP61" s="147"/>
      <c r="BQ61" s="29"/>
    </row>
    <row r="62" spans="2:69" ht="25.15" customHeight="1" x14ac:dyDescent="0.2">
      <c r="B62" s="39"/>
      <c r="C62" s="435" t="s">
        <v>92</v>
      </c>
      <c r="D62" s="70">
        <v>0</v>
      </c>
      <c r="E62" s="70"/>
      <c r="F62" s="70">
        <v>0</v>
      </c>
      <c r="H62" s="70">
        <v>1</v>
      </c>
      <c r="J62" s="70">
        <v>0</v>
      </c>
      <c r="L62" s="267">
        <v>0</v>
      </c>
      <c r="M62" s="4"/>
      <c r="N62" s="248">
        <v>0</v>
      </c>
      <c r="O62" s="70"/>
      <c r="P62" s="248">
        <v>0</v>
      </c>
      <c r="Q62" s="17"/>
      <c r="R62" s="248">
        <v>0</v>
      </c>
      <c r="S62" s="248"/>
      <c r="T62" s="70">
        <v>0</v>
      </c>
      <c r="V62" s="70">
        <v>0</v>
      </c>
      <c r="X62" s="70">
        <v>1426</v>
      </c>
      <c r="Z62" s="70">
        <v>0</v>
      </c>
      <c r="AB62" s="267">
        <v>0</v>
      </c>
      <c r="AD62" s="503">
        <v>0</v>
      </c>
      <c r="AE62" s="17"/>
      <c r="AF62" s="503">
        <v>0</v>
      </c>
      <c r="AG62" s="17"/>
      <c r="AH62" s="248">
        <v>0</v>
      </c>
      <c r="AI62" s="267">
        <v>0</v>
      </c>
      <c r="AJ62" s="70">
        <v>0</v>
      </c>
      <c r="AL62" s="70">
        <v>0</v>
      </c>
      <c r="AN62" s="70">
        <v>11408</v>
      </c>
      <c r="AP62" s="70">
        <v>0</v>
      </c>
      <c r="AR62" s="67">
        <v>0</v>
      </c>
      <c r="AS62" s="67"/>
      <c r="AT62" s="70">
        <v>0</v>
      </c>
      <c r="AV62" s="248">
        <v>0</v>
      </c>
      <c r="AX62" s="248">
        <v>0</v>
      </c>
      <c r="AY62" s="314">
        <v>0</v>
      </c>
      <c r="AZ62" s="160"/>
      <c r="BA62" s="147"/>
      <c r="BB62" s="160"/>
      <c r="BC62" s="160"/>
      <c r="BD62" s="160"/>
      <c r="BE62" s="148"/>
      <c r="BF62" s="147"/>
      <c r="BG62" s="148"/>
      <c r="BH62" s="147"/>
      <c r="BI62" s="148"/>
      <c r="BJ62" s="147"/>
      <c r="BK62" s="148"/>
      <c r="BL62" s="147"/>
      <c r="BM62" s="29"/>
      <c r="BN62" s="147"/>
      <c r="BO62" s="148"/>
      <c r="BP62" s="147"/>
      <c r="BQ62" s="29"/>
    </row>
    <row r="63" spans="2:69" ht="30" customHeight="1" x14ac:dyDescent="0.2">
      <c r="B63" s="439"/>
      <c r="C63" s="380" t="s">
        <v>6</v>
      </c>
      <c r="D63" s="446">
        <f>SUM(D47:D62)</f>
        <v>67</v>
      </c>
      <c r="E63" s="446"/>
      <c r="F63" s="446">
        <f>SUM(F47:F62)</f>
        <v>73</v>
      </c>
      <c r="G63" s="439"/>
      <c r="H63" s="446">
        <f>SUM(H47:H62)</f>
        <v>63</v>
      </c>
      <c r="I63" s="439"/>
      <c r="J63" s="447">
        <f>SUM(J47:J62)</f>
        <v>99</v>
      </c>
      <c r="K63" s="439"/>
      <c r="L63" s="411">
        <f>SUM(L47:L62)</f>
        <v>83</v>
      </c>
      <c r="M63" s="448"/>
      <c r="N63" s="449">
        <f>SUM(N47:N62)</f>
        <v>84</v>
      </c>
      <c r="O63" s="447"/>
      <c r="P63" s="449">
        <f>SUM(P47:P62)</f>
        <v>89</v>
      </c>
      <c r="Q63" s="411"/>
      <c r="R63" s="449">
        <f>SUM(R47:R62)</f>
        <v>94</v>
      </c>
      <c r="S63" s="410"/>
      <c r="T63" s="446">
        <f>SUM(T47:T62)</f>
        <v>19565</v>
      </c>
      <c r="U63" s="439"/>
      <c r="V63" s="446">
        <f>SUM(V47:V62)</f>
        <v>48096</v>
      </c>
      <c r="W63" s="439"/>
      <c r="X63" s="446">
        <f>SUM(X47:X62)</f>
        <v>34011</v>
      </c>
      <c r="Y63" s="439"/>
      <c r="Z63" s="446">
        <f>SUM(Z47:Z62)</f>
        <v>36114</v>
      </c>
      <c r="AA63" s="439"/>
      <c r="AB63" s="411">
        <f>SUM(AB47:AB62)</f>
        <v>30606</v>
      </c>
      <c r="AC63" s="450"/>
      <c r="AD63" s="451">
        <f>SUM(AD47:AD62)</f>
        <v>26770</v>
      </c>
      <c r="AE63" s="447"/>
      <c r="AF63" s="451">
        <f>SUM(AF47:AF62)</f>
        <v>25845</v>
      </c>
      <c r="AG63" s="452"/>
      <c r="AH63" s="453">
        <f>SUM(AH47:AH62)</f>
        <v>26736</v>
      </c>
      <c r="AI63" s="413">
        <f>SUM(AI47:AI62)</f>
        <v>30606</v>
      </c>
      <c r="AJ63" s="446">
        <f>SUM(AJ47:AJ62)</f>
        <v>446584</v>
      </c>
      <c r="AK63" s="439"/>
      <c r="AL63" s="446">
        <f>SUM(AL47:AL62)</f>
        <v>2216520</v>
      </c>
      <c r="AM63" s="439"/>
      <c r="AN63" s="446">
        <f>SUM(AN47:AN62)</f>
        <v>1520960</v>
      </c>
      <c r="AO63" s="439"/>
      <c r="AP63" s="446">
        <f>SUM(AP47:AP62)</f>
        <v>1452466</v>
      </c>
      <c r="AQ63" s="439"/>
      <c r="AR63" s="453">
        <f>SUM(AR47:AR62)</f>
        <v>1279380</v>
      </c>
      <c r="AS63" s="452"/>
      <c r="AT63" s="446">
        <f>SUM(AT47:AT62)</f>
        <v>1799416</v>
      </c>
      <c r="AU63" s="446">
        <f>SUM(AU47:AU62)</f>
        <v>0</v>
      </c>
      <c r="AV63" s="446">
        <f>SUM(AV47:AV62)</f>
        <v>1878696</v>
      </c>
      <c r="AW63" s="439"/>
      <c r="AX63" s="446">
        <f>SUM(AX47:AX62)</f>
        <v>1573202</v>
      </c>
      <c r="AY63" s="446">
        <f>SUM(AY47:AY62)</f>
        <v>1573202</v>
      </c>
      <c r="AZ63" s="162"/>
      <c r="BA63" s="153"/>
      <c r="BB63" s="162"/>
      <c r="BC63" s="162"/>
      <c r="BD63" s="162"/>
      <c r="BE63" s="154"/>
      <c r="BF63" s="162"/>
      <c r="BG63" s="154"/>
      <c r="BH63" s="163"/>
      <c r="BI63" s="154"/>
      <c r="BJ63" s="163"/>
      <c r="BK63" s="154"/>
      <c r="BL63" s="163"/>
      <c r="BM63" s="154"/>
      <c r="BN63" s="163"/>
      <c r="BO63" s="154"/>
      <c r="BP63" s="163"/>
      <c r="BQ63" s="154"/>
    </row>
    <row r="64" spans="2:69" ht="28.5" customHeight="1" x14ac:dyDescent="0.2">
      <c r="D64" s="146"/>
      <c r="E64" s="146"/>
      <c r="F64" s="146"/>
      <c r="G64" s="146"/>
      <c r="H64" s="146"/>
      <c r="I64" s="146"/>
      <c r="J64" s="146"/>
      <c r="K64" s="146"/>
      <c r="L64" s="146"/>
      <c r="M64" s="146"/>
      <c r="N64" s="145"/>
      <c r="O64" s="145"/>
      <c r="P64" s="145"/>
      <c r="Q64" s="145"/>
      <c r="R64" s="145"/>
      <c r="S64" s="145"/>
      <c r="T64" s="146"/>
      <c r="U64" s="146"/>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X64" s="53" t="s">
        <v>84</v>
      </c>
    </row>
    <row r="65" spans="2:263" s="21" customFormat="1" ht="25.15" customHeight="1" x14ac:dyDescent="0.2">
      <c r="B65" s="813" t="s">
        <v>145</v>
      </c>
      <c r="C65" s="813"/>
      <c r="D65" s="813"/>
      <c r="E65" s="813"/>
      <c r="F65" s="813"/>
      <c r="G65" s="813"/>
      <c r="H65" s="813"/>
      <c r="I65" s="813"/>
      <c r="J65" s="813"/>
      <c r="K65" s="813"/>
      <c r="L65" s="813"/>
      <c r="M65" s="813"/>
      <c r="N65" s="813"/>
      <c r="O65" s="813"/>
      <c r="P65" s="813"/>
      <c r="Q65" s="813"/>
      <c r="R65" s="813"/>
      <c r="S65" s="813"/>
      <c r="T65" s="813"/>
      <c r="U65" s="813"/>
      <c r="V65" s="813"/>
      <c r="W65" s="813"/>
      <c r="X65" s="813"/>
      <c r="Y65" s="813"/>
      <c r="Z65" s="813"/>
      <c r="AA65" s="813"/>
      <c r="AB65" s="813"/>
      <c r="AC65" s="813"/>
      <c r="AD65" s="813"/>
      <c r="AE65" s="813"/>
      <c r="AF65" s="813"/>
      <c r="AG65" s="813"/>
      <c r="AH65" s="813"/>
      <c r="AI65" s="813"/>
      <c r="AJ65" s="813"/>
      <c r="AK65" s="813"/>
      <c r="AL65" s="813"/>
      <c r="AM65" s="813"/>
      <c r="AN65" s="813"/>
      <c r="AO65" s="813"/>
      <c r="AP65" s="813"/>
      <c r="AQ65" s="813"/>
      <c r="AR65" s="813"/>
      <c r="AS65" s="813"/>
      <c r="AT65" s="813"/>
      <c r="AU65" s="813"/>
      <c r="AV65" s="813"/>
      <c r="AW65" s="813"/>
      <c r="AX65" s="813"/>
      <c r="AY65" s="813"/>
      <c r="AZ65" s="143"/>
      <c r="BA65" s="143"/>
      <c r="BB65" s="143"/>
      <c r="BC65" s="143"/>
      <c r="BD65" s="143"/>
      <c r="BE65" s="143"/>
      <c r="BF65" s="143"/>
      <c r="BG65" s="143"/>
      <c r="BH65" s="143"/>
      <c r="BI65" s="143"/>
      <c r="BJ65" s="143"/>
      <c r="BK65" s="143"/>
      <c r="BL65" s="143"/>
      <c r="BM65" s="143"/>
      <c r="BN65" s="143"/>
      <c r="BO65" s="143"/>
      <c r="BP65" s="143"/>
      <c r="BQ65" s="143"/>
    </row>
    <row r="66" spans="2:263" s="21" customFormat="1" ht="23.25" x14ac:dyDescent="0.2">
      <c r="B66" s="773" t="s">
        <v>107</v>
      </c>
      <c r="C66" s="773"/>
      <c r="D66" s="773"/>
      <c r="E66" s="773"/>
      <c r="F66" s="773"/>
      <c r="G66" s="773"/>
      <c r="H66" s="773"/>
      <c r="I66" s="773"/>
      <c r="J66" s="773"/>
      <c r="K66" s="773"/>
      <c r="L66" s="773"/>
      <c r="M66" s="773"/>
      <c r="N66" s="773"/>
      <c r="O66" s="773"/>
      <c r="P66" s="773"/>
      <c r="Q66" s="773"/>
      <c r="R66" s="773"/>
      <c r="S66" s="773"/>
      <c r="T66" s="773"/>
      <c r="U66" s="773"/>
      <c r="V66" s="773"/>
      <c r="W66" s="773"/>
      <c r="X66" s="773"/>
      <c r="Y66" s="773"/>
      <c r="Z66" s="773"/>
      <c r="AA66" s="773"/>
      <c r="AB66" s="773"/>
      <c r="AC66" s="773"/>
      <c r="AD66" s="773"/>
      <c r="AE66" s="773"/>
      <c r="AF66" s="773"/>
      <c r="AG66" s="773"/>
      <c r="AH66" s="773"/>
      <c r="AI66" s="773"/>
      <c r="AJ66" s="773"/>
      <c r="AK66" s="773"/>
      <c r="AL66" s="773"/>
      <c r="AM66" s="773"/>
      <c r="AN66" s="773"/>
      <c r="AO66" s="773"/>
      <c r="AP66" s="773"/>
      <c r="AQ66" s="773"/>
      <c r="AR66" s="773"/>
      <c r="AS66" s="773"/>
      <c r="AT66" s="773"/>
      <c r="AU66" s="773"/>
      <c r="AV66" s="773"/>
      <c r="AW66" s="773"/>
      <c r="AX66" s="773"/>
      <c r="AY66" s="773"/>
      <c r="AZ66" s="97"/>
      <c r="BA66" s="97"/>
      <c r="BB66" s="97"/>
      <c r="BC66" s="97"/>
      <c r="BD66" s="97"/>
      <c r="BE66" s="97"/>
      <c r="BF66" s="97"/>
      <c r="BG66" s="97"/>
      <c r="BH66" s="97"/>
      <c r="BI66" s="97"/>
      <c r="BJ66" s="97"/>
      <c r="BK66" s="97"/>
      <c r="BL66" s="97"/>
      <c r="BM66" s="97"/>
      <c r="BN66" s="97"/>
      <c r="BO66" s="97"/>
      <c r="BP66" s="97"/>
      <c r="BQ66" s="97"/>
    </row>
    <row r="67" spans="2:263" s="21" customFormat="1" ht="25.15" customHeight="1" x14ac:dyDescent="0.2">
      <c r="B67" s="773" t="s">
        <v>331</v>
      </c>
      <c r="C67" s="773"/>
      <c r="D67" s="773"/>
      <c r="E67" s="773"/>
      <c r="F67" s="773"/>
      <c r="G67" s="773"/>
      <c r="H67" s="773"/>
      <c r="I67" s="773"/>
      <c r="J67" s="773"/>
      <c r="K67" s="773"/>
      <c r="L67" s="773"/>
      <c r="M67" s="773"/>
      <c r="N67" s="773"/>
      <c r="O67" s="773"/>
      <c r="P67" s="773"/>
      <c r="Q67" s="773"/>
      <c r="R67" s="773"/>
      <c r="S67" s="773"/>
      <c r="T67" s="773"/>
      <c r="U67" s="773"/>
      <c r="V67" s="773"/>
      <c r="W67" s="773"/>
      <c r="X67" s="773"/>
      <c r="Y67" s="773"/>
      <c r="Z67" s="773"/>
      <c r="AA67" s="773"/>
      <c r="AB67" s="773"/>
      <c r="AC67" s="773"/>
      <c r="AD67" s="773"/>
      <c r="AE67" s="773"/>
      <c r="AF67" s="773"/>
      <c r="AG67" s="773"/>
      <c r="AH67" s="773"/>
      <c r="AI67" s="773"/>
      <c r="AJ67" s="773"/>
      <c r="AK67" s="773"/>
      <c r="AL67" s="773"/>
      <c r="AM67" s="773"/>
      <c r="AN67" s="773"/>
      <c r="AO67" s="773"/>
      <c r="AP67" s="773"/>
      <c r="AQ67" s="773"/>
      <c r="AR67" s="773"/>
      <c r="AS67" s="773"/>
      <c r="AT67" s="773"/>
      <c r="AU67" s="773"/>
      <c r="AV67" s="773"/>
      <c r="AW67" s="773"/>
      <c r="AX67" s="773"/>
      <c r="AY67" s="773"/>
      <c r="AZ67" s="773"/>
      <c r="BA67" s="773"/>
      <c r="BB67" s="773"/>
      <c r="BC67" s="773"/>
      <c r="BD67" s="773"/>
      <c r="BE67" s="773"/>
      <c r="BF67" s="773"/>
      <c r="BG67" s="773"/>
      <c r="BH67" s="773"/>
      <c r="BI67" s="773"/>
      <c r="BJ67" s="773"/>
      <c r="BK67" s="773"/>
      <c r="BL67" s="773"/>
      <c r="BM67" s="773"/>
      <c r="BN67" s="773"/>
      <c r="BO67" s="773"/>
      <c r="BP67" s="773"/>
      <c r="BQ67" s="773"/>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698"/>
      <c r="DQ67" s="698"/>
      <c r="DR67" s="698"/>
      <c r="DS67" s="698"/>
      <c r="DT67" s="698"/>
      <c r="DU67" s="698"/>
      <c r="DV67" s="698"/>
      <c r="DW67" s="698"/>
      <c r="DX67" s="698"/>
      <c r="DY67" s="698"/>
      <c r="DZ67" s="698"/>
      <c r="EA67" s="698"/>
      <c r="EB67" s="698"/>
      <c r="EC67" s="698"/>
      <c r="ED67" s="698"/>
      <c r="EE67" s="698"/>
      <c r="EF67" s="698"/>
      <c r="EG67" s="698"/>
      <c r="EH67" s="698"/>
      <c r="EI67" s="698"/>
      <c r="EJ67" s="698"/>
      <c r="EK67" s="698"/>
      <c r="EL67" s="698"/>
      <c r="EM67" s="698"/>
      <c r="EN67" s="698"/>
      <c r="EO67" s="698"/>
      <c r="EP67" s="698"/>
      <c r="EQ67" s="698"/>
      <c r="ER67" s="698"/>
      <c r="ES67" s="698"/>
      <c r="ET67" s="698"/>
      <c r="EU67" s="698"/>
      <c r="EV67" s="698"/>
      <c r="EW67" s="698"/>
      <c r="EX67" s="698"/>
      <c r="EY67" s="698"/>
      <c r="EZ67" s="698"/>
      <c r="FA67" s="698"/>
      <c r="FB67" s="698"/>
      <c r="FC67" s="698"/>
      <c r="FD67" s="698"/>
      <c r="FE67" s="698"/>
      <c r="FF67" s="698"/>
      <c r="FG67" s="698"/>
      <c r="FH67" s="698"/>
      <c r="FI67" s="698"/>
      <c r="FJ67" s="698"/>
      <c r="FK67" s="698"/>
      <c r="FL67" s="698"/>
      <c r="FM67" s="698"/>
      <c r="FN67" s="698"/>
      <c r="FO67" s="698"/>
      <c r="FP67" s="698"/>
      <c r="FQ67" s="698"/>
      <c r="FR67" s="698"/>
      <c r="FS67" s="698"/>
      <c r="FT67" s="698"/>
      <c r="FU67" s="698"/>
      <c r="FV67" s="698"/>
      <c r="FW67" s="698"/>
      <c r="FX67" s="698"/>
      <c r="FY67" s="698"/>
      <c r="FZ67" s="698"/>
      <c r="GA67" s="698"/>
      <c r="GB67" s="698"/>
      <c r="GC67" s="698"/>
      <c r="GD67" s="698"/>
      <c r="GE67" s="698"/>
      <c r="GF67" s="698"/>
      <c r="GG67" s="698"/>
      <c r="GH67" s="698"/>
      <c r="GI67" s="698"/>
      <c r="GJ67" s="698"/>
      <c r="GK67" s="698"/>
      <c r="GL67" s="698"/>
      <c r="GM67" s="698"/>
      <c r="GN67" s="698"/>
      <c r="GO67" s="698"/>
      <c r="GP67" s="698"/>
      <c r="GQ67" s="698"/>
      <c r="GR67" s="698"/>
      <c r="GS67" s="698"/>
      <c r="GT67" s="698"/>
      <c r="GU67" s="698"/>
      <c r="GV67" s="698"/>
      <c r="GW67" s="698"/>
      <c r="GX67" s="698"/>
      <c r="GY67" s="698"/>
      <c r="GZ67" s="698"/>
      <c r="HA67" s="698"/>
      <c r="HB67" s="698"/>
      <c r="HC67" s="698"/>
      <c r="HD67" s="698"/>
      <c r="HE67" s="698"/>
      <c r="HF67" s="698"/>
      <c r="HG67" s="698"/>
      <c r="HH67" s="698"/>
      <c r="HI67" s="698"/>
      <c r="HJ67" s="698"/>
      <c r="HK67" s="698"/>
      <c r="HL67" s="698"/>
      <c r="HM67" s="698"/>
      <c r="HN67" s="698"/>
      <c r="HO67" s="698"/>
      <c r="HP67" s="698"/>
      <c r="HQ67" s="698"/>
      <c r="HR67" s="698"/>
      <c r="HS67" s="698"/>
      <c r="HT67" s="698"/>
      <c r="HU67" s="698"/>
      <c r="HV67" s="698"/>
      <c r="HW67" s="698"/>
      <c r="HX67" s="698"/>
      <c r="HY67" s="698"/>
      <c r="HZ67" s="698"/>
      <c r="IA67" s="698"/>
      <c r="IB67" s="698"/>
      <c r="IC67" s="698"/>
      <c r="ID67" s="698"/>
      <c r="IE67" s="698"/>
      <c r="IF67" s="698"/>
      <c r="IG67" s="698"/>
      <c r="IH67" s="698"/>
      <c r="II67" s="698"/>
      <c r="IJ67" s="698"/>
      <c r="IK67" s="698"/>
      <c r="IL67" s="698"/>
      <c r="IM67" s="698"/>
      <c r="IN67" s="698"/>
      <c r="IO67" s="698"/>
      <c r="IP67" s="698"/>
      <c r="IQ67" s="698"/>
      <c r="IR67" s="698"/>
      <c r="IS67" s="698"/>
      <c r="IT67" s="698"/>
      <c r="IU67" s="698"/>
      <c r="IV67" s="698"/>
      <c r="IW67" s="698"/>
      <c r="IX67" s="698"/>
      <c r="IY67" s="698"/>
      <c r="IZ67" s="698"/>
      <c r="JA67" s="698"/>
      <c r="JB67" s="698"/>
      <c r="JC67" s="698"/>
    </row>
    <row r="68" spans="2:263" s="21" customFormat="1" ht="25.15" customHeight="1" x14ac:dyDescent="0.2">
      <c r="B68" s="814" t="s">
        <v>191</v>
      </c>
      <c r="C68" s="814"/>
      <c r="D68" s="96"/>
      <c r="E68" s="96"/>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93"/>
      <c r="DQ68" s="93"/>
      <c r="DR68" s="93"/>
      <c r="DS68" s="93"/>
      <c r="DT68" s="93"/>
      <c r="DU68" s="93"/>
      <c r="DV68" s="93"/>
      <c r="DW68" s="93"/>
      <c r="DX68" s="93"/>
      <c r="DY68" s="93"/>
      <c r="DZ68" s="93"/>
      <c r="EA68" s="93"/>
      <c r="EB68" s="93"/>
      <c r="EC68" s="93"/>
      <c r="ED68" s="93"/>
      <c r="EE68" s="93"/>
      <c r="EF68" s="93"/>
      <c r="EG68" s="93"/>
      <c r="EH68" s="93"/>
      <c r="EI68" s="93"/>
      <c r="EJ68" s="93"/>
      <c r="EK68" s="93"/>
      <c r="EL68" s="93"/>
      <c r="EM68" s="93"/>
      <c r="EN68" s="93"/>
      <c r="EO68" s="93"/>
      <c r="EP68" s="93"/>
      <c r="EQ68" s="93"/>
      <c r="ER68" s="93"/>
      <c r="ES68" s="93"/>
      <c r="ET68" s="93"/>
      <c r="EU68" s="93"/>
      <c r="EV68" s="93"/>
      <c r="EW68" s="93"/>
      <c r="EX68" s="93"/>
      <c r="EY68" s="93"/>
      <c r="EZ68" s="93"/>
      <c r="FA68" s="93"/>
      <c r="FB68" s="93"/>
      <c r="FC68" s="93"/>
      <c r="FD68" s="93"/>
      <c r="FE68" s="93"/>
      <c r="FF68" s="93"/>
      <c r="FG68" s="93"/>
      <c r="FH68" s="93"/>
      <c r="FI68" s="93"/>
      <c r="FJ68" s="93"/>
      <c r="FK68" s="93"/>
      <c r="FL68" s="93"/>
      <c r="FM68" s="93"/>
      <c r="FN68" s="93"/>
      <c r="FO68" s="93"/>
      <c r="FP68" s="93"/>
      <c r="FQ68" s="93"/>
      <c r="FR68" s="93"/>
      <c r="FS68" s="93"/>
      <c r="FT68" s="93"/>
      <c r="FU68" s="93"/>
      <c r="FV68" s="93"/>
      <c r="FW68" s="93"/>
      <c r="FX68" s="93"/>
      <c r="FY68" s="93"/>
      <c r="FZ68" s="93"/>
      <c r="GA68" s="93"/>
      <c r="GB68" s="93"/>
      <c r="GC68" s="93"/>
      <c r="GD68" s="93"/>
      <c r="GE68" s="93"/>
      <c r="GF68" s="93"/>
      <c r="GG68" s="93"/>
      <c r="GH68" s="93"/>
      <c r="GI68" s="93"/>
      <c r="GJ68" s="93"/>
      <c r="GK68" s="93"/>
      <c r="GL68" s="93"/>
      <c r="GM68" s="93"/>
      <c r="GN68" s="93"/>
      <c r="GO68" s="93"/>
      <c r="GP68" s="93"/>
      <c r="GQ68" s="93"/>
      <c r="GR68" s="93"/>
      <c r="GS68" s="93"/>
      <c r="GT68" s="93"/>
      <c r="GU68" s="93"/>
      <c r="GV68" s="93"/>
      <c r="GW68" s="93"/>
      <c r="GX68" s="93"/>
      <c r="GY68" s="93"/>
      <c r="GZ68" s="93"/>
      <c r="HA68" s="93"/>
      <c r="HB68" s="93"/>
      <c r="HC68" s="93"/>
      <c r="HD68" s="93"/>
      <c r="HE68" s="93"/>
      <c r="HF68" s="93"/>
      <c r="HG68" s="93"/>
      <c r="HH68" s="93"/>
      <c r="HI68" s="93"/>
      <c r="HJ68" s="93"/>
      <c r="HK68" s="93"/>
      <c r="HL68" s="93"/>
      <c r="HM68" s="93"/>
      <c r="HN68" s="93"/>
      <c r="HO68" s="93"/>
      <c r="HP68" s="93"/>
      <c r="HQ68" s="93"/>
      <c r="HR68" s="93"/>
      <c r="HS68" s="93"/>
      <c r="HT68" s="93"/>
      <c r="HU68" s="93"/>
      <c r="HV68" s="93"/>
      <c r="HW68" s="93"/>
      <c r="HX68" s="93"/>
      <c r="HY68" s="93"/>
      <c r="HZ68" s="93"/>
      <c r="IA68" s="93"/>
      <c r="IB68" s="93"/>
      <c r="IC68" s="93"/>
      <c r="ID68" s="93"/>
      <c r="IE68" s="93"/>
      <c r="IF68" s="93"/>
      <c r="IG68" s="93"/>
      <c r="IH68" s="93"/>
      <c r="II68" s="93"/>
      <c r="IJ68" s="93"/>
      <c r="IK68" s="93"/>
      <c r="IL68" s="93"/>
      <c r="IM68" s="93"/>
      <c r="IN68" s="93"/>
      <c r="IO68" s="93"/>
      <c r="IP68" s="93"/>
      <c r="IQ68" s="93"/>
      <c r="IR68" s="93"/>
      <c r="IS68" s="93"/>
      <c r="IT68" s="93"/>
      <c r="IU68" s="93"/>
      <c r="IV68" s="93"/>
      <c r="IW68" s="93"/>
      <c r="IX68" s="93"/>
      <c r="IY68" s="93"/>
      <c r="IZ68" s="93"/>
      <c r="JA68" s="93"/>
      <c r="JB68" s="93"/>
      <c r="JC68" s="93"/>
    </row>
    <row r="69" spans="2:263" ht="25.15" customHeight="1" x14ac:dyDescent="0.2">
      <c r="B69" s="708" t="s">
        <v>123</v>
      </c>
      <c r="C69" s="708"/>
      <c r="D69" s="807" t="s">
        <v>2</v>
      </c>
      <c r="E69" s="808"/>
      <c r="F69" s="808"/>
      <c r="G69" s="808"/>
      <c r="H69" s="808"/>
      <c r="I69" s="808"/>
      <c r="J69" s="808"/>
      <c r="K69" s="808"/>
      <c r="L69" s="808"/>
      <c r="M69" s="808"/>
      <c r="N69" s="808"/>
      <c r="O69" s="808"/>
      <c r="P69" s="808"/>
      <c r="Q69" s="808"/>
      <c r="R69" s="808"/>
      <c r="S69" s="809"/>
      <c r="T69" s="719" t="s">
        <v>15</v>
      </c>
      <c r="U69" s="735"/>
      <c r="V69" s="735"/>
      <c r="W69" s="735"/>
      <c r="X69" s="735"/>
      <c r="Y69" s="735"/>
      <c r="Z69" s="735"/>
      <c r="AA69" s="735"/>
      <c r="AB69" s="735"/>
      <c r="AC69" s="735"/>
      <c r="AD69" s="735"/>
      <c r="AE69" s="735"/>
      <c r="AF69" s="735"/>
      <c r="AG69" s="735"/>
      <c r="AH69" s="735"/>
      <c r="AI69" s="736"/>
      <c r="AJ69" s="719" t="s">
        <v>12</v>
      </c>
      <c r="AK69" s="735"/>
      <c r="AL69" s="735"/>
      <c r="AM69" s="735"/>
      <c r="AN69" s="735"/>
      <c r="AO69" s="735"/>
      <c r="AP69" s="735"/>
      <c r="AQ69" s="735"/>
      <c r="AR69" s="735"/>
      <c r="AS69" s="735"/>
      <c r="AT69" s="735"/>
      <c r="AU69" s="735"/>
      <c r="AV69" s="735"/>
      <c r="AW69" s="735"/>
      <c r="AX69" s="735"/>
      <c r="AY69" s="736"/>
      <c r="AZ69" s="23"/>
      <c r="BA69" s="23"/>
      <c r="BB69" s="23"/>
      <c r="BC69" s="23"/>
      <c r="BD69" s="23"/>
      <c r="BE69" s="23"/>
      <c r="BF69" s="23"/>
      <c r="BG69" s="23"/>
      <c r="BH69" s="23"/>
      <c r="BI69" s="23"/>
      <c r="BJ69" s="23"/>
      <c r="BK69" s="23"/>
      <c r="BL69" s="23"/>
      <c r="BM69" s="23"/>
      <c r="BN69" s="23"/>
      <c r="BO69" s="23"/>
      <c r="BP69" s="23"/>
      <c r="BQ69" s="23"/>
    </row>
    <row r="70" spans="2:263" ht="25.15" customHeight="1" x14ac:dyDescent="0.2">
      <c r="B70" s="708"/>
      <c r="C70" s="708"/>
      <c r="D70" s="716">
        <v>2014</v>
      </c>
      <c r="E70" s="717"/>
      <c r="F70" s="717">
        <v>2015</v>
      </c>
      <c r="G70" s="717"/>
      <c r="H70" s="717">
        <v>2016</v>
      </c>
      <c r="I70" s="717"/>
      <c r="J70" s="717">
        <v>2017</v>
      </c>
      <c r="K70" s="717"/>
      <c r="L70" s="717">
        <v>2018</v>
      </c>
      <c r="M70" s="717"/>
      <c r="N70" s="717">
        <v>2019</v>
      </c>
      <c r="O70" s="717"/>
      <c r="P70" s="717">
        <v>2020</v>
      </c>
      <c r="Q70" s="717"/>
      <c r="R70" s="717">
        <v>2021</v>
      </c>
      <c r="S70" s="733"/>
      <c r="T70" s="716">
        <v>2014</v>
      </c>
      <c r="U70" s="717"/>
      <c r="V70" s="717">
        <v>2015</v>
      </c>
      <c r="W70" s="717"/>
      <c r="X70" s="717">
        <v>2016</v>
      </c>
      <c r="Y70" s="717"/>
      <c r="Z70" s="717">
        <v>2017</v>
      </c>
      <c r="AA70" s="717"/>
      <c r="AB70" s="717">
        <v>2018</v>
      </c>
      <c r="AC70" s="717"/>
      <c r="AD70" s="717">
        <v>2019</v>
      </c>
      <c r="AE70" s="717"/>
      <c r="AF70" s="717">
        <v>2020</v>
      </c>
      <c r="AG70" s="717"/>
      <c r="AH70" s="717">
        <v>2021</v>
      </c>
      <c r="AI70" s="733"/>
      <c r="AJ70" s="716">
        <v>2014</v>
      </c>
      <c r="AK70" s="717"/>
      <c r="AL70" s="717">
        <v>2015</v>
      </c>
      <c r="AM70" s="717"/>
      <c r="AN70" s="717">
        <v>2016</v>
      </c>
      <c r="AO70" s="717"/>
      <c r="AP70" s="717">
        <v>2017</v>
      </c>
      <c r="AQ70" s="717"/>
      <c r="AR70" s="717">
        <v>2018</v>
      </c>
      <c r="AS70" s="717"/>
      <c r="AT70" s="717">
        <v>2019</v>
      </c>
      <c r="AU70" s="717"/>
      <c r="AV70" s="717">
        <v>2020</v>
      </c>
      <c r="AW70" s="717"/>
      <c r="AX70" s="717">
        <v>2021</v>
      </c>
      <c r="AY70" s="733"/>
      <c r="AZ70" s="23"/>
      <c r="BA70" s="23"/>
      <c r="BB70" s="23"/>
      <c r="BC70" s="23"/>
      <c r="BD70" s="23"/>
      <c r="BE70" s="23"/>
      <c r="BF70" s="23"/>
      <c r="BG70" s="23"/>
      <c r="BH70" s="23"/>
      <c r="BI70" s="23"/>
      <c r="BJ70" s="23"/>
      <c r="BK70" s="23"/>
      <c r="BL70" s="23"/>
      <c r="BM70" s="23"/>
      <c r="BN70" s="23"/>
      <c r="BO70" s="23"/>
      <c r="BP70" s="23"/>
      <c r="BQ70" s="23"/>
    </row>
    <row r="71" spans="2:263" ht="25.15" customHeight="1" x14ac:dyDescent="0.2">
      <c r="B71" s="39"/>
      <c r="C71" s="434" t="s">
        <v>88</v>
      </c>
      <c r="D71" s="42">
        <v>3</v>
      </c>
      <c r="E71" s="164"/>
      <c r="F71" s="42">
        <v>1</v>
      </c>
      <c r="G71" s="164"/>
      <c r="H71" s="43">
        <v>2</v>
      </c>
      <c r="I71" s="42"/>
      <c r="J71" s="164">
        <v>1</v>
      </c>
      <c r="K71" s="164"/>
      <c r="L71" s="164">
        <v>0</v>
      </c>
      <c r="M71" s="164"/>
      <c r="N71" s="164">
        <v>0</v>
      </c>
      <c r="O71" s="164"/>
      <c r="P71" s="4">
        <v>0</v>
      </c>
      <c r="R71" s="4">
        <v>1</v>
      </c>
      <c r="T71" s="42">
        <v>556</v>
      </c>
      <c r="U71" s="324"/>
      <c r="V71" s="325" t="s">
        <v>62</v>
      </c>
      <c r="W71" s="324"/>
      <c r="X71" s="43">
        <v>440</v>
      </c>
      <c r="Y71" s="42"/>
      <c r="Z71" s="164">
        <v>171</v>
      </c>
      <c r="AA71" s="164"/>
      <c r="AB71" s="43">
        <v>0</v>
      </c>
      <c r="AC71" s="164"/>
      <c r="AD71" s="43">
        <v>0</v>
      </c>
      <c r="AE71" s="164"/>
      <c r="AF71" s="9">
        <v>0</v>
      </c>
      <c r="AH71" s="4">
        <v>298</v>
      </c>
      <c r="AJ71" s="42">
        <v>15552</v>
      </c>
      <c r="AK71" s="165"/>
      <c r="AL71" s="166" t="s">
        <v>62</v>
      </c>
      <c r="AM71" s="165"/>
      <c r="AN71" s="43">
        <v>7280</v>
      </c>
      <c r="AO71" s="164"/>
      <c r="AP71" s="42">
        <v>2736</v>
      </c>
      <c r="AQ71" s="164"/>
      <c r="AR71" s="42">
        <v>0</v>
      </c>
      <c r="AS71" s="42"/>
      <c r="AT71" s="42">
        <v>0</v>
      </c>
      <c r="AU71" s="167"/>
      <c r="AV71" s="9">
        <v>0</v>
      </c>
      <c r="AW71" s="29"/>
      <c r="AX71" s="9">
        <v>4768</v>
      </c>
      <c r="AZ71" s="156"/>
      <c r="BA71" s="145"/>
      <c r="BB71" s="84"/>
      <c r="BC71" s="84"/>
      <c r="BD71" s="157"/>
      <c r="BE71" s="84"/>
      <c r="BF71" s="145"/>
      <c r="BG71" s="84"/>
      <c r="BH71" s="145"/>
      <c r="BI71" s="84"/>
      <c r="BJ71" s="145"/>
      <c r="BK71" s="84"/>
      <c r="BL71" s="145"/>
      <c r="BN71" s="145"/>
      <c r="BO71" s="84"/>
      <c r="BP71" s="145"/>
    </row>
    <row r="72" spans="2:263" ht="25.15" customHeight="1" x14ac:dyDescent="0.2">
      <c r="B72" s="39"/>
      <c r="C72" s="435" t="s">
        <v>18</v>
      </c>
      <c r="D72" s="43">
        <v>0</v>
      </c>
      <c r="E72" s="238"/>
      <c r="F72" s="43">
        <v>2</v>
      </c>
      <c r="G72" s="238"/>
      <c r="H72" s="43">
        <v>0</v>
      </c>
      <c r="I72" s="164"/>
      <c r="J72" s="164">
        <v>0</v>
      </c>
      <c r="K72" s="164"/>
      <c r="L72" s="164">
        <v>0</v>
      </c>
      <c r="M72" s="164"/>
      <c r="N72" s="164">
        <v>0</v>
      </c>
      <c r="O72" s="164"/>
      <c r="P72" s="4">
        <v>0</v>
      </c>
      <c r="R72" s="4">
        <v>0</v>
      </c>
      <c r="T72" s="326" t="s">
        <v>8</v>
      </c>
      <c r="U72" s="324"/>
      <c r="V72" s="42">
        <v>96</v>
      </c>
      <c r="W72" s="164"/>
      <c r="X72" s="43" t="s">
        <v>8</v>
      </c>
      <c r="Y72" s="164"/>
      <c r="Z72" s="164">
        <v>0</v>
      </c>
      <c r="AA72" s="164"/>
      <c r="AB72" s="43">
        <v>0</v>
      </c>
      <c r="AC72" s="164"/>
      <c r="AD72" s="43">
        <v>0</v>
      </c>
      <c r="AE72" s="164"/>
      <c r="AF72" s="9">
        <v>0</v>
      </c>
      <c r="AH72" s="4">
        <v>0</v>
      </c>
      <c r="AJ72" s="43">
        <v>0</v>
      </c>
      <c r="AK72" s="165"/>
      <c r="AL72" s="43">
        <v>768</v>
      </c>
      <c r="AM72" s="165"/>
      <c r="AN72" s="43" t="s">
        <v>8</v>
      </c>
      <c r="AO72" s="164"/>
      <c r="AP72" s="42">
        <v>0</v>
      </c>
      <c r="AQ72" s="164"/>
      <c r="AR72" s="164">
        <v>0</v>
      </c>
      <c r="AS72" s="164"/>
      <c r="AT72" s="164">
        <v>0</v>
      </c>
      <c r="AU72" s="167"/>
      <c r="AV72" s="9">
        <v>0</v>
      </c>
      <c r="AW72" s="29"/>
      <c r="AX72" s="9">
        <v>0</v>
      </c>
      <c r="AZ72" s="157"/>
      <c r="BA72" s="145"/>
      <c r="BB72" s="157"/>
      <c r="BC72" s="157"/>
      <c r="BD72" s="157"/>
      <c r="BE72" s="84"/>
      <c r="BF72" s="145"/>
      <c r="BG72" s="84"/>
      <c r="BH72" s="145"/>
      <c r="BI72" s="84"/>
      <c r="BJ72" s="145"/>
      <c r="BK72" s="84"/>
      <c r="BL72" s="145"/>
      <c r="BN72" s="145"/>
      <c r="BO72" s="84"/>
      <c r="BP72" s="145"/>
    </row>
    <row r="73" spans="2:263" ht="25.15" customHeight="1" x14ac:dyDescent="0.2">
      <c r="B73" s="39"/>
      <c r="C73" s="435" t="s">
        <v>108</v>
      </c>
      <c r="D73" s="42">
        <v>32</v>
      </c>
      <c r="E73" s="164"/>
      <c r="F73" s="42">
        <v>11</v>
      </c>
      <c r="G73" s="164"/>
      <c r="H73" s="43">
        <v>14</v>
      </c>
      <c r="I73" s="164"/>
      <c r="J73" s="164">
        <v>14</v>
      </c>
      <c r="K73" s="164"/>
      <c r="L73" s="164">
        <v>14</v>
      </c>
      <c r="M73" s="164"/>
      <c r="N73" s="164">
        <v>18</v>
      </c>
      <c r="O73" s="164"/>
      <c r="P73" s="247">
        <f>2+1+1+2</f>
        <v>6</v>
      </c>
      <c r="R73" s="4">
        <v>15</v>
      </c>
      <c r="T73" s="42">
        <v>14748</v>
      </c>
      <c r="U73" s="324"/>
      <c r="V73" s="42">
        <v>11173</v>
      </c>
      <c r="W73" s="164"/>
      <c r="X73" s="43">
        <v>5565</v>
      </c>
      <c r="Y73" s="164"/>
      <c r="Z73" s="43">
        <v>8643</v>
      </c>
      <c r="AA73" s="164"/>
      <c r="AB73" s="43">
        <v>4531</v>
      </c>
      <c r="AC73" s="164"/>
      <c r="AD73" s="164">
        <v>12403</v>
      </c>
      <c r="AE73" s="164"/>
      <c r="AF73" s="249">
        <f>382+116+624+441</f>
        <v>1563</v>
      </c>
      <c r="AH73" s="247">
        <v>5268</v>
      </c>
      <c r="AJ73" s="43">
        <v>1170064</v>
      </c>
      <c r="AK73" s="165"/>
      <c r="AL73" s="43">
        <v>1176912</v>
      </c>
      <c r="AM73" s="165"/>
      <c r="AN73" s="43">
        <v>544312</v>
      </c>
      <c r="AO73" s="164"/>
      <c r="AP73" s="42">
        <v>991464</v>
      </c>
      <c r="AQ73" s="164"/>
      <c r="AR73" s="164">
        <v>425512</v>
      </c>
      <c r="AS73" s="164"/>
      <c r="AT73" s="164">
        <v>823176</v>
      </c>
      <c r="AU73" s="151"/>
      <c r="AV73" s="250">
        <f>19976+6176+2784+14976+19560</f>
        <v>63472</v>
      </c>
      <c r="AW73" s="29"/>
      <c r="AX73" s="9">
        <v>403056</v>
      </c>
      <c r="AZ73" s="156"/>
      <c r="BA73" s="145"/>
      <c r="BB73" s="157"/>
      <c r="BC73" s="157"/>
      <c r="BD73" s="157"/>
      <c r="BE73" s="84"/>
      <c r="BF73" s="145"/>
      <c r="BG73" s="84"/>
      <c r="BH73" s="145"/>
      <c r="BI73" s="84"/>
      <c r="BJ73" s="145"/>
      <c r="BK73" s="84"/>
      <c r="BL73" s="145"/>
      <c r="BN73" s="145"/>
      <c r="BO73" s="84"/>
      <c r="BP73" s="145"/>
    </row>
    <row r="74" spans="2:263" ht="25.15" customHeight="1" x14ac:dyDescent="0.2">
      <c r="B74" s="39"/>
      <c r="C74" s="435" t="s">
        <v>131</v>
      </c>
      <c r="D74" s="42">
        <v>32</v>
      </c>
      <c r="E74" s="164"/>
      <c r="F74" s="42">
        <v>11</v>
      </c>
      <c r="G74" s="164"/>
      <c r="H74" s="43">
        <v>12</v>
      </c>
      <c r="I74" s="164"/>
      <c r="J74" s="164">
        <v>8</v>
      </c>
      <c r="K74" s="164"/>
      <c r="L74" s="164">
        <v>6</v>
      </c>
      <c r="M74" s="164"/>
      <c r="N74" s="164">
        <v>10</v>
      </c>
      <c r="O74" s="164"/>
      <c r="P74" s="247">
        <f>1+1</f>
        <v>2</v>
      </c>
      <c r="R74" s="4">
        <v>9</v>
      </c>
      <c r="T74" s="42">
        <v>7766</v>
      </c>
      <c r="U74" s="324"/>
      <c r="V74" s="42">
        <v>5425</v>
      </c>
      <c r="W74" s="164"/>
      <c r="X74" s="43">
        <v>5321</v>
      </c>
      <c r="Y74" s="164"/>
      <c r="Z74" s="164">
        <v>1794</v>
      </c>
      <c r="AA74" s="164"/>
      <c r="AB74" s="43">
        <v>1270</v>
      </c>
      <c r="AC74" s="164"/>
      <c r="AD74" s="164">
        <v>5417</v>
      </c>
      <c r="AE74" s="164"/>
      <c r="AF74" s="249">
        <f>1860+599</f>
        <v>2459</v>
      </c>
      <c r="AH74" s="247">
        <v>2435</v>
      </c>
      <c r="AJ74" s="43">
        <v>367688</v>
      </c>
      <c r="AK74" s="165"/>
      <c r="AL74" s="43">
        <v>159192</v>
      </c>
      <c r="AM74" s="165"/>
      <c r="AN74" s="43">
        <v>1045240</v>
      </c>
      <c r="AO74" s="164"/>
      <c r="AP74" s="42">
        <v>89880</v>
      </c>
      <c r="AQ74" s="164"/>
      <c r="AR74" s="164">
        <v>85888</v>
      </c>
      <c r="AS74" s="164"/>
      <c r="AT74" s="164">
        <v>72424</v>
      </c>
      <c r="AU74" s="151"/>
      <c r="AV74" s="250">
        <f>119040+4792+4792</f>
        <v>128624</v>
      </c>
      <c r="AW74" s="29"/>
      <c r="AX74" s="9">
        <v>200960</v>
      </c>
      <c r="AZ74" s="156"/>
      <c r="BA74" s="145"/>
      <c r="BB74" s="157"/>
      <c r="BC74" s="157"/>
      <c r="BD74" s="157"/>
      <c r="BE74" s="84"/>
      <c r="BF74" s="145"/>
      <c r="BG74" s="84"/>
      <c r="BH74" s="145"/>
      <c r="BI74" s="84"/>
      <c r="BJ74" s="145"/>
      <c r="BK74" s="84"/>
      <c r="BL74" s="145"/>
      <c r="BN74" s="145"/>
      <c r="BO74" s="84"/>
      <c r="BP74" s="145"/>
    </row>
    <row r="75" spans="2:263" ht="25.15" customHeight="1" x14ac:dyDescent="0.2">
      <c r="B75" s="39"/>
      <c r="C75" s="435" t="s">
        <v>89</v>
      </c>
      <c r="D75" s="42">
        <v>1</v>
      </c>
      <c r="E75" s="164"/>
      <c r="F75" s="42">
        <v>3</v>
      </c>
      <c r="G75" s="164"/>
      <c r="H75" s="43">
        <v>0</v>
      </c>
      <c r="I75" s="164"/>
      <c r="J75" s="164">
        <v>0</v>
      </c>
      <c r="K75" s="164"/>
      <c r="L75" s="164">
        <v>0</v>
      </c>
      <c r="M75" s="164"/>
      <c r="N75" s="164">
        <v>2</v>
      </c>
      <c r="O75" s="164"/>
      <c r="P75" s="4">
        <v>0</v>
      </c>
      <c r="R75" s="4">
        <v>0</v>
      </c>
      <c r="T75" s="42">
        <v>377</v>
      </c>
      <c r="U75" s="324"/>
      <c r="V75" s="42">
        <v>165</v>
      </c>
      <c r="W75" s="164"/>
      <c r="X75" s="43">
        <v>0</v>
      </c>
      <c r="Y75" s="164"/>
      <c r="Z75" s="164">
        <v>0</v>
      </c>
      <c r="AA75" s="164"/>
      <c r="AB75" s="43">
        <v>0</v>
      </c>
      <c r="AC75" s="164"/>
      <c r="AD75" s="164">
        <v>2830</v>
      </c>
      <c r="AE75" s="164"/>
      <c r="AF75" s="9">
        <v>0</v>
      </c>
      <c r="AH75" s="4">
        <v>0</v>
      </c>
      <c r="AJ75" s="43">
        <v>6032</v>
      </c>
      <c r="AK75" s="165"/>
      <c r="AL75" s="43">
        <v>1320</v>
      </c>
      <c r="AM75" s="165"/>
      <c r="AN75" s="43" t="s">
        <v>8</v>
      </c>
      <c r="AO75" s="164"/>
      <c r="AP75" s="42">
        <v>0</v>
      </c>
      <c r="AQ75" s="164"/>
      <c r="AR75" s="164">
        <v>0</v>
      </c>
      <c r="AS75" s="164"/>
      <c r="AT75" s="164">
        <v>22640</v>
      </c>
      <c r="AU75" s="151"/>
      <c r="AV75" s="9">
        <v>0</v>
      </c>
      <c r="AW75" s="29"/>
      <c r="AX75" s="9">
        <v>0</v>
      </c>
      <c r="AZ75" s="158"/>
      <c r="BA75" s="145"/>
      <c r="BB75" s="157"/>
      <c r="BC75" s="157"/>
      <c r="BD75" s="157"/>
      <c r="BE75" s="84"/>
      <c r="BF75" s="145"/>
      <c r="BG75" s="84"/>
      <c r="BH75" s="145"/>
      <c r="BI75" s="84"/>
      <c r="BJ75" s="145"/>
      <c r="BK75" s="84"/>
      <c r="BL75" s="145"/>
      <c r="BN75" s="145"/>
      <c r="BO75" s="84"/>
      <c r="BP75" s="145"/>
    </row>
    <row r="76" spans="2:263" ht="25.15" customHeight="1" x14ac:dyDescent="0.2">
      <c r="B76" s="39"/>
      <c r="C76" s="435" t="s">
        <v>109</v>
      </c>
      <c r="D76" s="42">
        <v>2</v>
      </c>
      <c r="E76" s="164"/>
      <c r="F76" s="42">
        <v>0</v>
      </c>
      <c r="G76" s="164"/>
      <c r="H76" s="43">
        <v>0</v>
      </c>
      <c r="I76" s="164"/>
      <c r="J76" s="164">
        <v>0</v>
      </c>
      <c r="K76" s="164"/>
      <c r="L76" s="164">
        <v>2</v>
      </c>
      <c r="M76" s="164"/>
      <c r="N76" s="164">
        <v>1</v>
      </c>
      <c r="O76" s="164"/>
      <c r="P76" s="4">
        <v>0</v>
      </c>
      <c r="R76" s="4">
        <v>0</v>
      </c>
      <c r="T76" s="42">
        <v>1108</v>
      </c>
      <c r="U76" s="324"/>
      <c r="V76" s="42">
        <v>0</v>
      </c>
      <c r="W76" s="164"/>
      <c r="X76" s="43">
        <v>0</v>
      </c>
      <c r="Y76" s="164"/>
      <c r="Z76" s="164">
        <v>0</v>
      </c>
      <c r="AA76" s="164"/>
      <c r="AB76" s="43">
        <v>250</v>
      </c>
      <c r="AC76" s="164"/>
      <c r="AD76" s="164">
        <v>200</v>
      </c>
      <c r="AE76" s="164"/>
      <c r="AF76" s="9">
        <v>0</v>
      </c>
      <c r="AH76" s="4">
        <v>0</v>
      </c>
      <c r="AJ76" s="43">
        <v>21952</v>
      </c>
      <c r="AK76" s="165"/>
      <c r="AL76" s="43">
        <v>0</v>
      </c>
      <c r="AM76" s="165"/>
      <c r="AN76" s="43" t="s">
        <v>8</v>
      </c>
      <c r="AO76" s="164"/>
      <c r="AP76" s="42">
        <v>0</v>
      </c>
      <c r="AQ76" s="164"/>
      <c r="AR76" s="164">
        <v>2000</v>
      </c>
      <c r="AS76" s="164"/>
      <c r="AT76" s="164">
        <v>6400</v>
      </c>
      <c r="AU76" s="151"/>
      <c r="AV76" s="9">
        <v>0</v>
      </c>
      <c r="AW76" s="29"/>
      <c r="AX76" s="9">
        <v>0</v>
      </c>
      <c r="AZ76" s="156"/>
      <c r="BA76" s="145"/>
      <c r="BB76" s="157"/>
      <c r="BC76" s="157"/>
      <c r="BD76" s="157"/>
      <c r="BE76" s="84"/>
      <c r="BF76" s="145"/>
      <c r="BG76" s="84"/>
      <c r="BH76" s="145"/>
      <c r="BI76" s="84"/>
      <c r="BJ76" s="145"/>
      <c r="BK76" s="84"/>
      <c r="BL76" s="145"/>
      <c r="BN76" s="145"/>
      <c r="BO76" s="84"/>
      <c r="BP76" s="145"/>
    </row>
    <row r="77" spans="2:263" ht="25.15" customHeight="1" x14ac:dyDescent="0.2">
      <c r="B77" s="39"/>
      <c r="C77" s="435" t="s">
        <v>141</v>
      </c>
      <c r="D77" s="42">
        <v>5</v>
      </c>
      <c r="E77" s="164"/>
      <c r="F77" s="42">
        <v>3</v>
      </c>
      <c r="G77" s="164"/>
      <c r="H77" s="43">
        <v>1</v>
      </c>
      <c r="I77" s="164"/>
      <c r="J77" s="164">
        <v>1</v>
      </c>
      <c r="K77" s="164"/>
      <c r="L77" s="164">
        <v>3</v>
      </c>
      <c r="M77" s="164"/>
      <c r="N77" s="164">
        <v>3</v>
      </c>
      <c r="O77" s="164"/>
      <c r="P77" s="4">
        <v>0</v>
      </c>
      <c r="R77" s="4">
        <v>1</v>
      </c>
      <c r="T77" s="42">
        <v>1582</v>
      </c>
      <c r="U77" s="324"/>
      <c r="V77" s="42">
        <v>850</v>
      </c>
      <c r="W77" s="164"/>
      <c r="X77" s="43">
        <v>52</v>
      </c>
      <c r="Y77" s="164"/>
      <c r="Z77" s="164">
        <v>68</v>
      </c>
      <c r="AA77" s="164"/>
      <c r="AB77" s="43">
        <v>1048</v>
      </c>
      <c r="AC77" s="164"/>
      <c r="AD77" s="164">
        <v>1066</v>
      </c>
      <c r="AE77" s="164"/>
      <c r="AF77" s="9">
        <v>0</v>
      </c>
      <c r="AH77" s="4">
        <v>115</v>
      </c>
      <c r="AJ77" s="43">
        <v>23040</v>
      </c>
      <c r="AK77" s="165"/>
      <c r="AL77" s="43">
        <v>30960</v>
      </c>
      <c r="AM77" s="165"/>
      <c r="AN77" s="43">
        <v>8416</v>
      </c>
      <c r="AO77" s="164"/>
      <c r="AP77" s="42">
        <v>1088</v>
      </c>
      <c r="AQ77" s="164"/>
      <c r="AR77" s="164">
        <v>40608</v>
      </c>
      <c r="AS77" s="164"/>
      <c r="AT77" s="164">
        <v>12128</v>
      </c>
      <c r="AU77" s="151"/>
      <c r="AV77" s="9">
        <v>0</v>
      </c>
      <c r="AW77" s="29"/>
      <c r="AX77" s="9">
        <v>1840</v>
      </c>
      <c r="AZ77" s="157"/>
      <c r="BA77" s="145"/>
      <c r="BB77" s="157"/>
      <c r="BC77" s="157"/>
      <c r="BD77" s="157"/>
      <c r="BE77" s="84"/>
      <c r="BF77" s="145"/>
      <c r="BG77" s="84"/>
      <c r="BH77" s="145"/>
      <c r="BI77" s="84"/>
      <c r="BJ77" s="145"/>
      <c r="BK77" s="84"/>
      <c r="BL77" s="145"/>
      <c r="BN77" s="145"/>
      <c r="BO77" s="84"/>
      <c r="BP77" s="145"/>
    </row>
    <row r="78" spans="2:263" ht="25.15" customHeight="1" x14ac:dyDescent="0.2">
      <c r="B78" s="39"/>
      <c r="C78" s="435" t="s">
        <v>93</v>
      </c>
      <c r="D78" s="43">
        <v>0</v>
      </c>
      <c r="E78" s="164"/>
      <c r="F78" s="43">
        <v>0</v>
      </c>
      <c r="G78" s="164"/>
      <c r="H78" s="43">
        <v>0</v>
      </c>
      <c r="I78" s="164"/>
      <c r="J78" s="164">
        <v>0</v>
      </c>
      <c r="K78" s="164"/>
      <c r="L78" s="164">
        <v>0</v>
      </c>
      <c r="M78" s="164"/>
      <c r="N78" s="164">
        <v>0</v>
      </c>
      <c r="O78" s="164"/>
      <c r="P78" s="4">
        <v>0</v>
      </c>
      <c r="R78" s="4">
        <v>0</v>
      </c>
      <c r="T78" s="43">
        <v>0</v>
      </c>
      <c r="U78" s="324"/>
      <c r="V78" s="164">
        <v>0</v>
      </c>
      <c r="W78" s="164"/>
      <c r="X78" s="43">
        <v>0</v>
      </c>
      <c r="Y78" s="164"/>
      <c r="Z78" s="164">
        <v>0</v>
      </c>
      <c r="AA78" s="164"/>
      <c r="AB78" s="327">
        <v>0</v>
      </c>
      <c r="AC78" s="327"/>
      <c r="AD78" s="327">
        <v>0</v>
      </c>
      <c r="AE78" s="164"/>
      <c r="AF78" s="9">
        <v>0</v>
      </c>
      <c r="AH78" s="4">
        <v>0</v>
      </c>
      <c r="AJ78" s="43">
        <v>0</v>
      </c>
      <c r="AK78" s="165"/>
      <c r="AL78" s="43">
        <v>0</v>
      </c>
      <c r="AM78" s="165"/>
      <c r="AN78" s="43" t="s">
        <v>8</v>
      </c>
      <c r="AO78" s="164"/>
      <c r="AP78" s="42">
        <v>0</v>
      </c>
      <c r="AQ78" s="164"/>
      <c r="AR78" s="164">
        <v>0</v>
      </c>
      <c r="AS78" s="164"/>
      <c r="AT78" s="164">
        <v>0</v>
      </c>
      <c r="AU78" s="151"/>
      <c r="AV78" s="9">
        <v>0</v>
      </c>
      <c r="AW78" s="29"/>
      <c r="AX78" s="9">
        <v>0</v>
      </c>
      <c r="AZ78" s="156"/>
      <c r="BA78" s="145"/>
      <c r="BB78" s="157"/>
      <c r="BC78" s="157"/>
      <c r="BD78" s="157"/>
      <c r="BE78" s="84"/>
      <c r="BF78" s="145"/>
      <c r="BG78" s="84"/>
      <c r="BH78" s="145"/>
      <c r="BI78" s="84"/>
      <c r="BJ78" s="145"/>
      <c r="BK78" s="84"/>
      <c r="BL78" s="145"/>
      <c r="BN78" s="145"/>
      <c r="BO78" s="84"/>
      <c r="BP78" s="145"/>
    </row>
    <row r="79" spans="2:263" ht="25.15" customHeight="1" x14ac:dyDescent="0.2">
      <c r="B79" s="39"/>
      <c r="C79" s="435" t="s">
        <v>144</v>
      </c>
      <c r="D79" s="42">
        <v>3</v>
      </c>
      <c r="E79" s="164"/>
      <c r="F79" s="42">
        <v>5</v>
      </c>
      <c r="G79" s="164"/>
      <c r="H79" s="43">
        <v>0</v>
      </c>
      <c r="I79" s="164"/>
      <c r="J79" s="164">
        <v>1</v>
      </c>
      <c r="K79" s="164"/>
      <c r="L79" s="164">
        <v>2</v>
      </c>
      <c r="M79" s="164"/>
      <c r="N79" s="164">
        <v>4</v>
      </c>
      <c r="O79" s="164"/>
      <c r="P79" s="4">
        <v>1</v>
      </c>
      <c r="R79" s="4">
        <v>2</v>
      </c>
      <c r="T79" s="42">
        <v>1276</v>
      </c>
      <c r="U79" s="324"/>
      <c r="V79" s="164">
        <v>1550</v>
      </c>
      <c r="W79" s="164"/>
      <c r="X79" s="43">
        <v>0</v>
      </c>
      <c r="Y79" s="164"/>
      <c r="Z79" s="164">
        <v>45</v>
      </c>
      <c r="AA79" s="164"/>
      <c r="AB79" s="327">
        <v>190</v>
      </c>
      <c r="AC79" s="164"/>
      <c r="AD79" s="327">
        <v>1467</v>
      </c>
      <c r="AE79" s="164"/>
      <c r="AF79" s="9">
        <v>232</v>
      </c>
      <c r="AH79" s="4">
        <v>584</v>
      </c>
      <c r="AJ79" s="43">
        <v>278126</v>
      </c>
      <c r="AK79" s="165"/>
      <c r="AL79" s="43">
        <v>209440</v>
      </c>
      <c r="AM79" s="165"/>
      <c r="AN79" s="43" t="s">
        <v>8</v>
      </c>
      <c r="AO79" s="164"/>
      <c r="AP79" s="42">
        <v>1800</v>
      </c>
      <c r="AQ79" s="164"/>
      <c r="AR79" s="164">
        <v>9280</v>
      </c>
      <c r="AS79" s="164"/>
      <c r="AT79" s="164">
        <v>19928</v>
      </c>
      <c r="AU79" s="151"/>
      <c r="AV79" s="9">
        <v>3712</v>
      </c>
      <c r="AW79" s="29"/>
      <c r="AX79" s="9">
        <v>19520</v>
      </c>
      <c r="AZ79" s="157"/>
      <c r="BA79" s="145"/>
      <c r="BB79" s="157"/>
      <c r="BC79" s="157"/>
      <c r="BD79" s="157"/>
      <c r="BE79" s="84"/>
      <c r="BF79" s="145"/>
      <c r="BG79" s="84"/>
      <c r="BH79" s="145"/>
      <c r="BI79" s="84"/>
      <c r="BJ79" s="145"/>
      <c r="BK79" s="84"/>
      <c r="BL79" s="145"/>
      <c r="BN79" s="145"/>
      <c r="BO79" s="84"/>
      <c r="BP79" s="145"/>
    </row>
    <row r="80" spans="2:263" ht="25.15" customHeight="1" x14ac:dyDescent="0.2">
      <c r="B80" s="39"/>
      <c r="C80" s="435" t="s">
        <v>110</v>
      </c>
      <c r="D80" s="42">
        <v>5</v>
      </c>
      <c r="E80" s="164"/>
      <c r="F80" s="43">
        <v>0</v>
      </c>
      <c r="G80" s="164"/>
      <c r="H80" s="43">
        <v>0</v>
      </c>
      <c r="I80" s="164"/>
      <c r="J80" s="164">
        <v>3</v>
      </c>
      <c r="K80" s="164"/>
      <c r="L80" s="164">
        <v>1</v>
      </c>
      <c r="M80" s="164"/>
      <c r="N80" s="164">
        <v>0</v>
      </c>
      <c r="O80" s="164"/>
      <c r="P80" s="4">
        <v>2</v>
      </c>
      <c r="R80" s="4">
        <v>0</v>
      </c>
      <c r="T80" s="42">
        <v>2651</v>
      </c>
      <c r="U80" s="324"/>
      <c r="V80" s="42">
        <v>0</v>
      </c>
      <c r="W80" s="164"/>
      <c r="X80" s="43">
        <v>0</v>
      </c>
      <c r="Y80" s="164"/>
      <c r="Z80" s="164">
        <v>399</v>
      </c>
      <c r="AA80" s="164"/>
      <c r="AB80" s="327">
        <v>808</v>
      </c>
      <c r="AC80" s="164"/>
      <c r="AD80" s="327">
        <v>0</v>
      </c>
      <c r="AE80" s="164"/>
      <c r="AF80" s="9">
        <v>3271</v>
      </c>
      <c r="AH80" s="4">
        <v>0</v>
      </c>
      <c r="AJ80" s="43">
        <v>40680</v>
      </c>
      <c r="AK80" s="165"/>
      <c r="AL80" s="43">
        <v>0</v>
      </c>
      <c r="AM80" s="165"/>
      <c r="AN80" s="43" t="s">
        <v>8</v>
      </c>
      <c r="AO80" s="164"/>
      <c r="AP80" s="42">
        <v>6936</v>
      </c>
      <c r="AQ80" s="164"/>
      <c r="AR80" s="164">
        <v>12928</v>
      </c>
      <c r="AS80" s="164"/>
      <c r="AT80" s="164">
        <v>0</v>
      </c>
      <c r="AU80" s="151"/>
      <c r="AV80" s="9">
        <v>26168</v>
      </c>
      <c r="AW80" s="29"/>
      <c r="AX80" s="9">
        <v>0</v>
      </c>
      <c r="AZ80" s="157"/>
      <c r="BA80" s="145"/>
      <c r="BB80" s="157"/>
      <c r="BC80" s="157"/>
      <c r="BD80" s="157"/>
      <c r="BE80" s="84"/>
      <c r="BF80" s="145"/>
      <c r="BG80" s="84"/>
      <c r="BH80" s="145"/>
      <c r="BI80" s="84"/>
      <c r="BJ80" s="145"/>
      <c r="BK80" s="84"/>
      <c r="BL80" s="145"/>
      <c r="BN80" s="145"/>
      <c r="BO80" s="84"/>
      <c r="BP80" s="145"/>
    </row>
    <row r="81" spans="2:69" ht="25.15" customHeight="1" x14ac:dyDescent="0.2">
      <c r="B81" s="39"/>
      <c r="C81" s="434" t="s">
        <v>91</v>
      </c>
      <c r="D81" s="42">
        <v>1</v>
      </c>
      <c r="E81" s="164"/>
      <c r="F81" s="43">
        <v>0</v>
      </c>
      <c r="G81" s="164"/>
      <c r="H81" s="43">
        <v>2</v>
      </c>
      <c r="I81" s="164"/>
      <c r="J81" s="164">
        <v>0</v>
      </c>
      <c r="K81" s="164"/>
      <c r="L81" s="164">
        <v>3</v>
      </c>
      <c r="M81" s="164"/>
      <c r="N81" s="164">
        <v>1</v>
      </c>
      <c r="O81" s="164"/>
      <c r="P81" s="4">
        <v>0</v>
      </c>
      <c r="R81" s="4">
        <v>0</v>
      </c>
      <c r="T81" s="42">
        <v>100</v>
      </c>
      <c r="U81" s="324"/>
      <c r="V81" s="42">
        <v>0</v>
      </c>
      <c r="W81" s="164"/>
      <c r="X81" s="43">
        <v>430</v>
      </c>
      <c r="Y81" s="164"/>
      <c r="Z81" s="164">
        <v>0</v>
      </c>
      <c r="AA81" s="164"/>
      <c r="AB81" s="327">
        <v>344</v>
      </c>
      <c r="AC81" s="164"/>
      <c r="AD81" s="327">
        <v>1038</v>
      </c>
      <c r="AE81" s="164"/>
      <c r="AF81" s="9">
        <v>0</v>
      </c>
      <c r="AH81" s="4">
        <v>0</v>
      </c>
      <c r="AJ81" s="43">
        <v>2400</v>
      </c>
      <c r="AK81" s="165"/>
      <c r="AL81" s="43">
        <v>0</v>
      </c>
      <c r="AM81" s="165"/>
      <c r="AN81" s="43">
        <v>12320</v>
      </c>
      <c r="AO81" s="164"/>
      <c r="AP81" s="42">
        <v>0</v>
      </c>
      <c r="AQ81" s="164"/>
      <c r="AR81" s="164">
        <v>10760</v>
      </c>
      <c r="AS81" s="164"/>
      <c r="AT81" s="164">
        <v>58128</v>
      </c>
      <c r="AU81" s="151"/>
      <c r="AV81" s="9">
        <v>0</v>
      </c>
      <c r="AW81" s="29"/>
      <c r="AX81" s="9">
        <v>0</v>
      </c>
      <c r="AZ81" s="156"/>
      <c r="BA81" s="145"/>
      <c r="BB81" s="157"/>
      <c r="BC81" s="157"/>
      <c r="BD81" s="157"/>
      <c r="BE81" s="84"/>
      <c r="BF81" s="145"/>
      <c r="BG81" s="84"/>
      <c r="BH81" s="145"/>
      <c r="BI81" s="84"/>
      <c r="BJ81" s="145"/>
      <c r="BK81" s="84"/>
      <c r="BL81" s="145"/>
      <c r="BN81" s="145"/>
      <c r="BO81" s="84"/>
      <c r="BP81" s="145"/>
    </row>
    <row r="82" spans="2:69" ht="25.15" customHeight="1" x14ac:dyDescent="0.2">
      <c r="B82" s="39"/>
      <c r="C82" s="434" t="s">
        <v>111</v>
      </c>
      <c r="D82" s="42">
        <v>5</v>
      </c>
      <c r="E82" s="164"/>
      <c r="F82" s="42">
        <v>7</v>
      </c>
      <c r="G82" s="164"/>
      <c r="H82" s="43">
        <v>6</v>
      </c>
      <c r="I82" s="164"/>
      <c r="J82" s="164">
        <v>12</v>
      </c>
      <c r="K82" s="164"/>
      <c r="L82" s="164">
        <v>15</v>
      </c>
      <c r="M82" s="164"/>
      <c r="N82" s="164">
        <v>25</v>
      </c>
      <c r="O82" s="164"/>
      <c r="P82" s="247">
        <f>1+5+1+1</f>
        <v>8</v>
      </c>
      <c r="R82" s="4">
        <v>8</v>
      </c>
      <c r="T82" s="42">
        <v>6359</v>
      </c>
      <c r="U82" s="324"/>
      <c r="V82" s="42">
        <v>12395</v>
      </c>
      <c r="W82" s="164"/>
      <c r="X82" s="43">
        <v>7843</v>
      </c>
      <c r="Y82" s="164"/>
      <c r="Z82" s="164">
        <v>35105</v>
      </c>
      <c r="AA82" s="164"/>
      <c r="AB82" s="327">
        <v>2637</v>
      </c>
      <c r="AC82" s="164"/>
      <c r="AD82" s="327">
        <v>85337</v>
      </c>
      <c r="AE82" s="164"/>
      <c r="AF82" s="249">
        <f>972+2008+95000</f>
        <v>97980</v>
      </c>
      <c r="AH82" s="247">
        <v>195370</v>
      </c>
      <c r="AJ82" s="43">
        <v>684648</v>
      </c>
      <c r="AK82" s="165"/>
      <c r="AL82" s="43">
        <v>325920</v>
      </c>
      <c r="AM82" s="165"/>
      <c r="AN82" s="43">
        <v>1437200</v>
      </c>
      <c r="AO82" s="164"/>
      <c r="AP82" s="42">
        <v>1843538</v>
      </c>
      <c r="AQ82" s="164"/>
      <c r="AR82" s="164">
        <v>76004</v>
      </c>
      <c r="AS82" s="164"/>
      <c r="AT82" s="164">
        <v>1048128</v>
      </c>
      <c r="AU82" s="151"/>
      <c r="AV82" s="250">
        <f>7776+28632+3040000</f>
        <v>3076408</v>
      </c>
      <c r="AW82" s="29"/>
      <c r="AX82" s="9">
        <v>2330808</v>
      </c>
      <c r="AZ82" s="156"/>
      <c r="BA82" s="145"/>
      <c r="BB82" s="157"/>
      <c r="BC82" s="157"/>
      <c r="BD82" s="157"/>
      <c r="BE82" s="84"/>
      <c r="BF82" s="145"/>
      <c r="BG82" s="84"/>
      <c r="BH82" s="145"/>
      <c r="BI82" s="84"/>
      <c r="BJ82" s="145"/>
      <c r="BK82" s="84"/>
      <c r="BL82" s="145"/>
      <c r="BN82" s="145"/>
      <c r="BO82" s="84"/>
      <c r="BP82" s="145"/>
    </row>
    <row r="83" spans="2:69" ht="25.15" customHeight="1" x14ac:dyDescent="0.2">
      <c r="B83" s="39"/>
      <c r="C83" s="435" t="s">
        <v>19</v>
      </c>
      <c r="D83" s="42">
        <v>1</v>
      </c>
      <c r="E83" s="164"/>
      <c r="F83" s="42">
        <v>2</v>
      </c>
      <c r="G83" s="164"/>
      <c r="H83" s="43">
        <v>1</v>
      </c>
      <c r="I83" s="164"/>
      <c r="J83" s="164">
        <v>3</v>
      </c>
      <c r="K83" s="164"/>
      <c r="L83" s="164">
        <v>0</v>
      </c>
      <c r="M83" s="164"/>
      <c r="N83" s="164">
        <v>0</v>
      </c>
      <c r="O83" s="164"/>
      <c r="P83" s="4">
        <v>1</v>
      </c>
      <c r="R83" s="4">
        <v>1</v>
      </c>
      <c r="T83" s="42">
        <v>245</v>
      </c>
      <c r="U83" s="324"/>
      <c r="V83" s="42">
        <v>256</v>
      </c>
      <c r="W83" s="164"/>
      <c r="X83" s="43">
        <v>615</v>
      </c>
      <c r="Y83" s="164"/>
      <c r="Z83" s="164">
        <v>916</v>
      </c>
      <c r="AA83" s="164"/>
      <c r="AB83" s="327">
        <v>0</v>
      </c>
      <c r="AC83" s="164"/>
      <c r="AD83" s="327">
        <v>0</v>
      </c>
      <c r="AE83" s="164"/>
      <c r="AF83" s="9">
        <v>700</v>
      </c>
      <c r="AH83" s="4">
        <v>72</v>
      </c>
      <c r="AJ83" s="43">
        <v>7840</v>
      </c>
      <c r="AK83" s="165"/>
      <c r="AL83" s="43">
        <v>2352</v>
      </c>
      <c r="AM83" s="165"/>
      <c r="AN83" s="43">
        <v>24600</v>
      </c>
      <c r="AO83" s="164"/>
      <c r="AP83" s="42">
        <v>9088</v>
      </c>
      <c r="AQ83" s="164"/>
      <c r="AR83" s="164">
        <v>0</v>
      </c>
      <c r="AS83" s="164"/>
      <c r="AT83" s="164">
        <v>0</v>
      </c>
      <c r="AU83" s="151"/>
      <c r="AV83" s="9">
        <v>5600</v>
      </c>
      <c r="AW83" s="29"/>
      <c r="AX83" s="9">
        <v>36288</v>
      </c>
      <c r="AZ83" s="157"/>
      <c r="BA83" s="145"/>
      <c r="BB83" s="157"/>
      <c r="BC83" s="157"/>
      <c r="BD83" s="157"/>
      <c r="BE83" s="84"/>
      <c r="BF83" s="145"/>
      <c r="BG83" s="84"/>
      <c r="BH83" s="145"/>
      <c r="BI83" s="84"/>
      <c r="BJ83" s="145"/>
      <c r="BK83" s="84"/>
      <c r="BL83" s="145"/>
      <c r="BN83" s="145"/>
      <c r="BO83" s="84"/>
      <c r="BP83" s="145"/>
    </row>
    <row r="84" spans="2:69" ht="25.15" customHeight="1" x14ac:dyDescent="0.2">
      <c r="B84" s="39"/>
      <c r="C84" s="435" t="s">
        <v>46</v>
      </c>
      <c r="D84" s="42">
        <v>5</v>
      </c>
      <c r="E84" s="164"/>
      <c r="F84" s="43">
        <v>0</v>
      </c>
      <c r="G84" s="164"/>
      <c r="H84" s="43">
        <v>1</v>
      </c>
      <c r="I84" s="164"/>
      <c r="J84" s="164">
        <v>1</v>
      </c>
      <c r="K84" s="164"/>
      <c r="L84" s="164">
        <v>8</v>
      </c>
      <c r="M84" s="164"/>
      <c r="N84" s="164">
        <v>2</v>
      </c>
      <c r="O84" s="164"/>
      <c r="P84" s="4">
        <f>2+1</f>
        <v>3</v>
      </c>
      <c r="R84" s="4">
        <v>1</v>
      </c>
      <c r="T84" s="42">
        <v>3913</v>
      </c>
      <c r="U84" s="324"/>
      <c r="V84" s="164">
        <v>0</v>
      </c>
      <c r="W84" s="164"/>
      <c r="X84" s="43">
        <v>91</v>
      </c>
      <c r="Y84" s="164"/>
      <c r="Z84" s="164">
        <v>9154</v>
      </c>
      <c r="AA84" s="164"/>
      <c r="AB84" s="327">
        <v>10418</v>
      </c>
      <c r="AC84" s="164"/>
      <c r="AD84" s="327">
        <v>134</v>
      </c>
      <c r="AE84" s="164"/>
      <c r="AF84" s="9">
        <f>21501+162</f>
        <v>21663</v>
      </c>
      <c r="AH84" s="4">
        <v>5000</v>
      </c>
      <c r="AJ84" s="43">
        <v>534996</v>
      </c>
      <c r="AK84" s="165"/>
      <c r="AL84" s="43">
        <v>0</v>
      </c>
      <c r="AM84" s="165"/>
      <c r="AN84" s="43">
        <v>1456</v>
      </c>
      <c r="AO84" s="164"/>
      <c r="AP84" s="42">
        <v>54924</v>
      </c>
      <c r="AQ84" s="164"/>
      <c r="AR84" s="164">
        <v>75884</v>
      </c>
      <c r="AS84" s="164"/>
      <c r="AT84" s="164">
        <v>1944</v>
      </c>
      <c r="AU84" s="151"/>
      <c r="AV84" s="9">
        <f>344016+5184</f>
        <v>349200</v>
      </c>
      <c r="AW84" s="29"/>
      <c r="AX84" s="9">
        <v>30000</v>
      </c>
      <c r="AZ84" s="157"/>
      <c r="BA84" s="145"/>
      <c r="BB84" s="157"/>
      <c r="BC84" s="157"/>
      <c r="BD84" s="157"/>
      <c r="BE84" s="84"/>
      <c r="BF84" s="145"/>
      <c r="BG84" s="84"/>
      <c r="BH84" s="145"/>
      <c r="BI84" s="84"/>
      <c r="BJ84" s="145"/>
      <c r="BK84" s="84"/>
      <c r="BL84" s="145"/>
      <c r="BN84" s="145"/>
      <c r="BO84" s="84"/>
      <c r="BP84" s="145"/>
    </row>
    <row r="85" spans="2:69" ht="25.15" customHeight="1" x14ac:dyDescent="0.2">
      <c r="B85" s="39"/>
      <c r="C85" s="435" t="s">
        <v>142</v>
      </c>
      <c r="D85" s="43">
        <v>0</v>
      </c>
      <c r="E85" s="164"/>
      <c r="F85" s="42">
        <v>2</v>
      </c>
      <c r="G85" s="164"/>
      <c r="H85" s="43">
        <v>2</v>
      </c>
      <c r="I85" s="164"/>
      <c r="J85" s="164">
        <v>1</v>
      </c>
      <c r="K85" s="164"/>
      <c r="L85" s="164">
        <v>0</v>
      </c>
      <c r="M85" s="164"/>
      <c r="N85" s="164">
        <v>1</v>
      </c>
      <c r="O85" s="164"/>
      <c r="P85" s="4">
        <v>0</v>
      </c>
      <c r="R85" s="4">
        <v>0</v>
      </c>
      <c r="T85" s="326" t="s">
        <v>8</v>
      </c>
      <c r="U85" s="324"/>
      <c r="V85" s="164">
        <v>156</v>
      </c>
      <c r="W85" s="164"/>
      <c r="X85" s="43">
        <v>106</v>
      </c>
      <c r="Y85" s="164"/>
      <c r="Z85" s="164">
        <v>315</v>
      </c>
      <c r="AA85" s="164"/>
      <c r="AB85" s="327">
        <v>0</v>
      </c>
      <c r="AC85" s="164"/>
      <c r="AD85" s="327">
        <v>262</v>
      </c>
      <c r="AE85" s="164"/>
      <c r="AF85" s="9">
        <v>0</v>
      </c>
      <c r="AH85" s="4">
        <v>0</v>
      </c>
      <c r="AJ85" s="43">
        <v>0</v>
      </c>
      <c r="AK85" s="165"/>
      <c r="AL85" s="43">
        <v>18768</v>
      </c>
      <c r="AM85" s="165"/>
      <c r="AN85" s="43">
        <v>3232</v>
      </c>
      <c r="AO85" s="164"/>
      <c r="AP85" s="42">
        <v>5040</v>
      </c>
      <c r="AQ85" s="164"/>
      <c r="AR85" s="164">
        <v>0</v>
      </c>
      <c r="AS85" s="164"/>
      <c r="AT85" s="164">
        <v>20960</v>
      </c>
      <c r="AU85" s="167"/>
      <c r="AV85" s="9">
        <v>0</v>
      </c>
      <c r="AW85" s="29"/>
      <c r="AX85" s="9">
        <v>0</v>
      </c>
      <c r="AZ85" s="157"/>
      <c r="BA85" s="145"/>
      <c r="BB85" s="157"/>
      <c r="BC85" s="157"/>
      <c r="BD85" s="157"/>
      <c r="BE85" s="84"/>
      <c r="BF85" s="145"/>
      <c r="BG85" s="84"/>
      <c r="BH85" s="145"/>
      <c r="BI85" s="84"/>
      <c r="BJ85" s="145"/>
      <c r="BK85" s="84"/>
      <c r="BL85" s="145"/>
      <c r="BN85" s="145"/>
      <c r="BO85" s="84"/>
      <c r="BP85" s="145"/>
    </row>
    <row r="86" spans="2:69" ht="25.15" customHeight="1" x14ac:dyDescent="0.2">
      <c r="B86" s="39"/>
      <c r="C86" s="435" t="s">
        <v>92</v>
      </c>
      <c r="D86" s="43">
        <v>0</v>
      </c>
      <c r="E86" s="164"/>
      <c r="F86" s="43">
        <v>0</v>
      </c>
      <c r="G86" s="164"/>
      <c r="H86" s="43">
        <v>0</v>
      </c>
      <c r="I86" s="164"/>
      <c r="J86" s="164">
        <v>0</v>
      </c>
      <c r="K86" s="164"/>
      <c r="L86" s="164">
        <v>0</v>
      </c>
      <c r="M86" s="164"/>
      <c r="N86" s="164">
        <v>0</v>
      </c>
      <c r="O86" s="164"/>
      <c r="P86" s="164">
        <v>0</v>
      </c>
      <c r="R86" s="4">
        <v>0</v>
      </c>
      <c r="T86" s="326" t="s">
        <v>8</v>
      </c>
      <c r="U86" s="324"/>
      <c r="V86" s="42">
        <v>0</v>
      </c>
      <c r="W86" s="164"/>
      <c r="X86" s="43">
        <v>0</v>
      </c>
      <c r="Y86" s="164"/>
      <c r="Z86" s="164">
        <v>0</v>
      </c>
      <c r="AA86" s="164"/>
      <c r="AB86" s="327">
        <v>0</v>
      </c>
      <c r="AC86" s="164"/>
      <c r="AD86" s="327">
        <v>0</v>
      </c>
      <c r="AE86" s="164"/>
      <c r="AF86" s="164">
        <v>0</v>
      </c>
      <c r="AH86" s="164">
        <v>0</v>
      </c>
      <c r="AJ86" s="43">
        <v>0</v>
      </c>
      <c r="AK86" s="165"/>
      <c r="AL86" s="43">
        <v>0</v>
      </c>
      <c r="AM86" s="165"/>
      <c r="AN86" s="43" t="s">
        <v>8</v>
      </c>
      <c r="AO86" s="164"/>
      <c r="AP86" s="42">
        <v>0</v>
      </c>
      <c r="AQ86" s="164"/>
      <c r="AR86" s="164">
        <v>0</v>
      </c>
      <c r="AS86" s="164"/>
      <c r="AT86" s="164">
        <v>0</v>
      </c>
      <c r="AU86" s="167"/>
      <c r="AV86" s="164">
        <v>0</v>
      </c>
      <c r="AW86" s="29"/>
      <c r="AX86" s="9">
        <v>0</v>
      </c>
      <c r="AZ86" s="157"/>
      <c r="BA86" s="145"/>
      <c r="BB86" s="157"/>
      <c r="BC86" s="157"/>
      <c r="BD86" s="157"/>
      <c r="BE86" s="84"/>
      <c r="BF86" s="145"/>
      <c r="BG86" s="84"/>
      <c r="BH86" s="145"/>
      <c r="BI86" s="84"/>
      <c r="BJ86" s="145"/>
      <c r="BK86" s="84"/>
      <c r="BL86" s="145"/>
      <c r="BN86" s="145"/>
      <c r="BO86" s="84"/>
      <c r="BP86" s="145"/>
    </row>
    <row r="87" spans="2:69" ht="30" customHeight="1" x14ac:dyDescent="0.2">
      <c r="B87" s="439"/>
      <c r="C87" s="380" t="s">
        <v>6</v>
      </c>
      <c r="D87" s="436">
        <f>SUM(D71:D86)</f>
        <v>95</v>
      </c>
      <c r="E87" s="437"/>
      <c r="F87" s="812">
        <f>SUM(F71:F86)</f>
        <v>47</v>
      </c>
      <c r="G87" s="812"/>
      <c r="H87" s="812">
        <f>SUM(H71:H86)</f>
        <v>41</v>
      </c>
      <c r="I87" s="812"/>
      <c r="J87" s="812">
        <f>SUM(J71:J86)</f>
        <v>45</v>
      </c>
      <c r="K87" s="812"/>
      <c r="L87" s="812">
        <f>SUM(L71:L86)</f>
        <v>54</v>
      </c>
      <c r="M87" s="812"/>
      <c r="N87" s="812">
        <f t="shared" ref="N87:P87" si="0">SUM(N71:N86)</f>
        <v>67</v>
      </c>
      <c r="O87" s="812"/>
      <c r="P87" s="812">
        <f t="shared" si="0"/>
        <v>23</v>
      </c>
      <c r="Q87" s="812"/>
      <c r="R87" s="812">
        <f t="shared" ref="R87" si="1">SUM(R71:R86)</f>
        <v>38</v>
      </c>
      <c r="S87" s="816"/>
      <c r="T87" s="438">
        <f>SUM(T71:T86)</f>
        <v>40681</v>
      </c>
      <c r="U87" s="440"/>
      <c r="V87" s="438">
        <f>SUM(V71:V86)</f>
        <v>32066</v>
      </c>
      <c r="W87" s="438"/>
      <c r="X87" s="438">
        <f>SUM(X71:X86)</f>
        <v>20463</v>
      </c>
      <c r="Y87" s="438"/>
      <c r="Z87" s="438">
        <f>SUM(Z71:Z86)</f>
        <v>56610</v>
      </c>
      <c r="AA87" s="438"/>
      <c r="AB87" s="438">
        <f>SUM(AB71:AB86)</f>
        <v>21496</v>
      </c>
      <c r="AC87" s="438"/>
      <c r="AD87" s="438">
        <f>SUM(AD71:AD86)</f>
        <v>110154</v>
      </c>
      <c r="AE87" s="441"/>
      <c r="AF87" s="438">
        <f>SUM(AF71:AF86)</f>
        <v>127868</v>
      </c>
      <c r="AG87" s="438"/>
      <c r="AH87" s="438">
        <f t="shared" ref="AH87" si="2">SUM(AH71:AH86)</f>
        <v>209142</v>
      </c>
      <c r="AI87" s="442"/>
      <c r="AJ87" s="443">
        <f>SUM(AL71:AL86)</f>
        <v>1925632</v>
      </c>
      <c r="AK87" s="444"/>
      <c r="AL87" s="444">
        <f>SUM(AN71:AN86)</f>
        <v>3084056</v>
      </c>
      <c r="AM87" s="444"/>
      <c r="AN87" s="444">
        <f>SUM(AP71:AP86)</f>
        <v>3006494</v>
      </c>
      <c r="AO87" s="444"/>
      <c r="AP87" s="444">
        <f>SUM(AR71:AR86)</f>
        <v>738864</v>
      </c>
      <c r="AQ87" s="444"/>
      <c r="AR87" s="444">
        <f>SUM(AR71:AR86)</f>
        <v>738864</v>
      </c>
      <c r="AS87" s="444"/>
      <c r="AT87" s="444">
        <f>SUM(AT71:AT86)</f>
        <v>2085856</v>
      </c>
      <c r="AU87" s="445"/>
      <c r="AV87" s="502">
        <f>SUM(AV71:AV86)</f>
        <v>3653184</v>
      </c>
      <c r="AW87" s="502"/>
      <c r="AX87" s="799">
        <f t="shared" ref="AX87" si="3">SUM(AX71:AX86)</f>
        <v>3027240</v>
      </c>
      <c r="AY87" s="800"/>
      <c r="AZ87" s="116"/>
      <c r="BA87" s="70"/>
      <c r="BB87" s="116"/>
      <c r="BC87" s="116"/>
      <c r="BD87" s="116"/>
      <c r="BF87" s="116"/>
      <c r="BH87" s="24"/>
      <c r="BJ87" s="24"/>
      <c r="BL87" s="24"/>
      <c r="BN87" s="24"/>
      <c r="BP87" s="24"/>
    </row>
    <row r="88" spans="2:69" s="29" customFormat="1" ht="30" customHeight="1" x14ac:dyDescent="0.2">
      <c r="B88" s="154"/>
      <c r="C88" s="155"/>
      <c r="D88" s="168"/>
      <c r="E88" s="169"/>
      <c r="F88" s="168"/>
      <c r="G88" s="168"/>
      <c r="H88" s="168"/>
      <c r="I88" s="168"/>
      <c r="J88" s="168"/>
      <c r="K88" s="168"/>
      <c r="L88" s="168"/>
      <c r="M88" s="168"/>
      <c r="N88" s="168"/>
      <c r="O88" s="168"/>
      <c r="P88" s="168"/>
      <c r="Q88" s="168"/>
      <c r="R88" s="168"/>
      <c r="S88" s="168"/>
      <c r="T88" s="170"/>
      <c r="U88" s="171"/>
      <c r="V88" s="170"/>
      <c r="W88" s="170"/>
      <c r="X88" s="170"/>
      <c r="Y88" s="170"/>
      <c r="Z88" s="170"/>
      <c r="AA88" s="170"/>
      <c r="AB88" s="170"/>
      <c r="AC88" s="170"/>
      <c r="AD88" s="170"/>
      <c r="AE88" s="172"/>
      <c r="AF88" s="170"/>
      <c r="AG88" s="170"/>
      <c r="AH88" s="170"/>
      <c r="AI88" s="170"/>
      <c r="AJ88" s="168"/>
      <c r="AK88" s="168"/>
      <c r="AL88" s="168"/>
      <c r="AM88" s="168"/>
      <c r="AN88" s="168"/>
      <c r="AO88" s="168"/>
      <c r="AP88" s="168"/>
      <c r="AQ88" s="168"/>
      <c r="AR88" s="168"/>
      <c r="AS88" s="168"/>
      <c r="AT88" s="168"/>
      <c r="AU88" s="152"/>
      <c r="AV88" s="170"/>
      <c r="AW88" s="170"/>
      <c r="AX88" s="168"/>
      <c r="AY88" s="168"/>
      <c r="AZ88" s="173"/>
      <c r="BA88" s="125"/>
      <c r="BB88" s="173"/>
      <c r="BC88" s="173"/>
      <c r="BD88" s="173"/>
      <c r="BF88" s="173"/>
      <c r="BH88" s="174"/>
      <c r="BJ88" s="174"/>
      <c r="BL88" s="174"/>
      <c r="BN88" s="174"/>
      <c r="BP88" s="174"/>
    </row>
    <row r="89" spans="2:69" ht="45" customHeight="1" x14ac:dyDescent="0.2">
      <c r="B89" s="708" t="s">
        <v>123</v>
      </c>
      <c r="C89" s="723"/>
      <c r="D89" s="719" t="s">
        <v>2</v>
      </c>
      <c r="E89" s="735"/>
      <c r="F89" s="735"/>
      <c r="G89" s="735"/>
      <c r="H89" s="735"/>
      <c r="I89" s="735"/>
      <c r="J89" s="735"/>
      <c r="K89" s="736"/>
      <c r="L89" s="719" t="s">
        <v>15</v>
      </c>
      <c r="M89" s="735"/>
      <c r="N89" s="735"/>
      <c r="O89" s="735"/>
      <c r="P89" s="735"/>
      <c r="Q89" s="735"/>
      <c r="R89" s="735"/>
      <c r="S89" s="735"/>
      <c r="T89" s="801" t="s">
        <v>12</v>
      </c>
      <c r="U89" s="802"/>
      <c r="V89" s="802"/>
      <c r="W89" s="802"/>
      <c r="X89" s="802"/>
      <c r="Y89" s="802"/>
      <c r="Z89" s="802"/>
      <c r="AA89" s="803"/>
      <c r="AJ89" s="810"/>
      <c r="AK89" s="810"/>
      <c r="AL89" s="810"/>
      <c r="AM89" s="810"/>
      <c r="AN89" s="810"/>
      <c r="AO89" s="810"/>
      <c r="AP89" s="810"/>
      <c r="AQ89" s="810"/>
      <c r="AR89" s="810"/>
      <c r="AS89" s="810"/>
      <c r="AT89" s="810"/>
      <c r="AU89" s="810"/>
      <c r="AV89" s="810"/>
      <c r="AW89" s="810"/>
      <c r="AX89" s="810"/>
      <c r="AY89" s="810"/>
      <c r="AZ89" s="23"/>
      <c r="BA89" s="23"/>
      <c r="BB89" s="23"/>
      <c r="BC89" s="23"/>
      <c r="BD89" s="23"/>
      <c r="BE89" s="23"/>
      <c r="BF89" s="23"/>
      <c r="BG89" s="23"/>
      <c r="BH89" s="23"/>
      <c r="BI89" s="23"/>
      <c r="BJ89" s="23"/>
      <c r="BK89" s="23"/>
      <c r="BL89" s="23"/>
      <c r="BM89" s="23"/>
      <c r="BN89" s="23"/>
      <c r="BO89" s="23"/>
      <c r="BP89" s="23"/>
      <c r="BQ89" s="23"/>
    </row>
    <row r="90" spans="2:69" ht="25.15" customHeight="1" x14ac:dyDescent="0.2">
      <c r="B90" s="708"/>
      <c r="C90" s="723"/>
      <c r="D90" s="721">
        <v>2022</v>
      </c>
      <c r="E90" s="721"/>
      <c r="F90" s="721">
        <v>2023</v>
      </c>
      <c r="G90" s="721"/>
      <c r="H90" s="721">
        <v>2024</v>
      </c>
      <c r="I90" s="721"/>
      <c r="J90" s="721">
        <v>2025</v>
      </c>
      <c r="K90" s="721"/>
      <c r="L90" s="721">
        <v>2022</v>
      </c>
      <c r="M90" s="721"/>
      <c r="N90" s="721">
        <v>2023</v>
      </c>
      <c r="O90" s="721"/>
      <c r="P90" s="721">
        <v>2024</v>
      </c>
      <c r="Q90" s="721"/>
      <c r="R90" s="721">
        <v>2025</v>
      </c>
      <c r="S90" s="721"/>
      <c r="T90" s="805">
        <v>2022</v>
      </c>
      <c r="U90" s="806"/>
      <c r="V90" s="806">
        <v>2023</v>
      </c>
      <c r="W90" s="806"/>
      <c r="X90" s="806">
        <v>2024</v>
      </c>
      <c r="Y90" s="806"/>
      <c r="Z90" s="806">
        <v>2025</v>
      </c>
      <c r="AA90" s="811"/>
      <c r="AJ90" s="804"/>
      <c r="AK90" s="804"/>
      <c r="AL90" s="804"/>
      <c r="AM90" s="804"/>
      <c r="AN90" s="804"/>
      <c r="AO90" s="804"/>
      <c r="AP90" s="804"/>
      <c r="AQ90" s="804"/>
      <c r="AR90" s="804"/>
      <c r="AS90" s="804"/>
      <c r="AT90" s="804"/>
      <c r="AU90" s="804"/>
      <c r="AV90" s="804"/>
      <c r="AW90" s="804"/>
      <c r="AX90" s="804"/>
      <c r="AY90" s="804"/>
      <c r="AZ90" s="23"/>
      <c r="BA90" s="23"/>
      <c r="BB90" s="23"/>
      <c r="BC90" s="23"/>
      <c r="BD90" s="23"/>
      <c r="BE90" s="23"/>
      <c r="BF90" s="23"/>
      <c r="BG90" s="23"/>
      <c r="BH90" s="23"/>
      <c r="BI90" s="23"/>
      <c r="BJ90" s="23"/>
      <c r="BK90" s="23"/>
      <c r="BL90" s="23"/>
      <c r="BM90" s="23"/>
      <c r="BN90" s="23"/>
      <c r="BO90" s="23"/>
      <c r="BP90" s="23"/>
      <c r="BQ90" s="23"/>
    </row>
    <row r="91" spans="2:69" ht="25.15" customHeight="1" x14ac:dyDescent="0.2">
      <c r="B91" s="39"/>
      <c r="C91" s="434" t="s">
        <v>88</v>
      </c>
      <c r="D91" s="42">
        <v>1</v>
      </c>
      <c r="E91" s="164"/>
      <c r="F91" s="164">
        <v>2</v>
      </c>
      <c r="G91" s="164"/>
      <c r="H91" s="164">
        <v>0</v>
      </c>
      <c r="J91" s="164">
        <v>0</v>
      </c>
      <c r="L91" s="164">
        <v>20</v>
      </c>
      <c r="M91" s="164"/>
      <c r="N91" s="1">
        <v>313</v>
      </c>
      <c r="O91" s="164"/>
      <c r="P91" s="164">
        <v>0</v>
      </c>
      <c r="R91" s="164">
        <v>0</v>
      </c>
      <c r="T91" s="164">
        <v>7200</v>
      </c>
      <c r="U91" s="164"/>
      <c r="V91" s="175">
        <v>11672</v>
      </c>
      <c r="W91" s="175"/>
      <c r="X91" s="164">
        <v>28144</v>
      </c>
      <c r="Y91" s="686" t="s">
        <v>62</v>
      </c>
      <c r="Z91" s="164">
        <v>0</v>
      </c>
      <c r="AA91" s="686"/>
      <c r="AJ91" s="177"/>
      <c r="AK91" s="172"/>
      <c r="AL91" s="181"/>
      <c r="AM91" s="172"/>
      <c r="AN91" s="179"/>
      <c r="AO91" s="175"/>
      <c r="AP91" s="177"/>
      <c r="AQ91" s="175"/>
      <c r="AR91" s="177"/>
      <c r="AS91" s="177"/>
      <c r="AT91" s="177"/>
      <c r="AU91" s="167"/>
      <c r="AV91" s="180"/>
      <c r="AW91" s="29"/>
      <c r="AX91" s="180"/>
      <c r="AY91" s="29"/>
      <c r="AZ91" s="156"/>
      <c r="BA91" s="145"/>
      <c r="BB91" s="84"/>
      <c r="BC91" s="84"/>
      <c r="BD91" s="157"/>
      <c r="BE91" s="84"/>
      <c r="BF91" s="145"/>
      <c r="BG91" s="84"/>
      <c r="BH91" s="145"/>
      <c r="BI91" s="84"/>
      <c r="BJ91" s="145"/>
      <c r="BK91" s="84"/>
      <c r="BL91" s="145"/>
      <c r="BN91" s="145"/>
      <c r="BO91" s="84"/>
      <c r="BP91" s="145"/>
    </row>
    <row r="92" spans="2:69" ht="25.15" customHeight="1" x14ac:dyDescent="0.2">
      <c r="B92" s="39"/>
      <c r="C92" s="435" t="s">
        <v>18</v>
      </c>
      <c r="D92" s="43">
        <v>0</v>
      </c>
      <c r="E92" s="238"/>
      <c r="F92" s="164">
        <v>0</v>
      </c>
      <c r="G92" s="164"/>
      <c r="H92" s="164">
        <v>0</v>
      </c>
      <c r="J92" s="164">
        <v>0</v>
      </c>
      <c r="L92" s="511">
        <v>0</v>
      </c>
      <c r="M92" s="511"/>
      <c r="N92" s="43">
        <v>0</v>
      </c>
      <c r="O92" s="164"/>
      <c r="P92" s="164">
        <v>0</v>
      </c>
      <c r="R92" s="164">
        <v>0</v>
      </c>
      <c r="T92" s="164">
        <v>0</v>
      </c>
      <c r="U92" s="164"/>
      <c r="V92" s="175">
        <v>0</v>
      </c>
      <c r="W92" s="175"/>
      <c r="X92" s="164">
        <v>0</v>
      </c>
      <c r="Y92" s="178"/>
      <c r="Z92" s="164">
        <v>0</v>
      </c>
      <c r="AA92" s="178"/>
      <c r="AJ92" s="179"/>
      <c r="AK92" s="172"/>
      <c r="AL92" s="179"/>
      <c r="AM92" s="172"/>
      <c r="AN92" s="179"/>
      <c r="AO92" s="175"/>
      <c r="AP92" s="177"/>
      <c r="AQ92" s="175"/>
      <c r="AR92" s="175"/>
      <c r="AS92" s="175"/>
      <c r="AT92" s="175"/>
      <c r="AU92" s="167"/>
      <c r="AV92" s="180"/>
      <c r="AW92" s="29"/>
      <c r="AX92" s="180"/>
      <c r="AY92" s="29"/>
      <c r="AZ92" s="157"/>
      <c r="BA92" s="145"/>
      <c r="BB92" s="157"/>
      <c r="BC92" s="157"/>
      <c r="BD92" s="157"/>
      <c r="BE92" s="84"/>
      <c r="BF92" s="145"/>
      <c r="BG92" s="84"/>
      <c r="BH92" s="145"/>
      <c r="BI92" s="84"/>
      <c r="BJ92" s="145"/>
      <c r="BK92" s="84"/>
      <c r="BL92" s="145"/>
      <c r="BN92" s="145"/>
      <c r="BO92" s="84"/>
      <c r="BP92" s="145"/>
    </row>
    <row r="93" spans="2:69" ht="25.15" customHeight="1" x14ac:dyDescent="0.2">
      <c r="B93" s="39"/>
      <c r="C93" s="435" t="s">
        <v>108</v>
      </c>
      <c r="D93" s="42">
        <v>7</v>
      </c>
      <c r="E93" s="164"/>
      <c r="F93" s="164">
        <v>10</v>
      </c>
      <c r="G93" s="164"/>
      <c r="H93" s="164">
        <v>7</v>
      </c>
      <c r="J93" s="164">
        <v>3</v>
      </c>
      <c r="L93" s="511">
        <v>2802</v>
      </c>
      <c r="M93" s="511"/>
      <c r="N93" s="43">
        <v>2965</v>
      </c>
      <c r="O93" s="164"/>
      <c r="P93" s="164">
        <v>818</v>
      </c>
      <c r="R93" s="164">
        <v>1038</v>
      </c>
      <c r="T93" s="164">
        <v>255952</v>
      </c>
      <c r="U93" s="164"/>
      <c r="V93" s="175">
        <v>134777</v>
      </c>
      <c r="W93" s="175"/>
      <c r="X93" s="164">
        <v>56664</v>
      </c>
      <c r="Y93" s="178"/>
      <c r="Z93" s="164">
        <v>191768</v>
      </c>
      <c r="AA93" s="178"/>
      <c r="AJ93" s="179"/>
      <c r="AK93" s="172"/>
      <c r="AL93" s="179"/>
      <c r="AM93" s="172"/>
      <c r="AN93" s="179"/>
      <c r="AO93" s="175"/>
      <c r="AP93" s="177"/>
      <c r="AQ93" s="175"/>
      <c r="AR93" s="175"/>
      <c r="AS93" s="175"/>
      <c r="AT93" s="175"/>
      <c r="AU93" s="151"/>
      <c r="AV93" s="182"/>
      <c r="AW93" s="29"/>
      <c r="AX93" s="180"/>
      <c r="AY93" s="29"/>
      <c r="AZ93" s="156"/>
      <c r="BA93" s="145"/>
      <c r="BB93" s="157"/>
      <c r="BC93" s="157"/>
      <c r="BD93" s="157"/>
      <c r="BE93" s="84"/>
      <c r="BF93" s="145"/>
      <c r="BG93" s="84"/>
      <c r="BH93" s="145"/>
      <c r="BI93" s="84"/>
      <c r="BJ93" s="145"/>
      <c r="BK93" s="84"/>
      <c r="BL93" s="145"/>
      <c r="BN93" s="145"/>
      <c r="BO93" s="84"/>
      <c r="BP93" s="145"/>
    </row>
    <row r="94" spans="2:69" ht="25.15" customHeight="1" x14ac:dyDescent="0.2">
      <c r="B94" s="39"/>
      <c r="C94" s="435" t="s">
        <v>131</v>
      </c>
      <c r="D94" s="42">
        <v>8</v>
      </c>
      <c r="E94" s="164"/>
      <c r="F94" s="164">
        <v>7</v>
      </c>
      <c r="G94" s="164"/>
      <c r="H94" s="164">
        <v>6</v>
      </c>
      <c r="J94" s="164">
        <v>12</v>
      </c>
      <c r="L94" s="511">
        <v>899</v>
      </c>
      <c r="M94" s="511"/>
      <c r="N94" s="43">
        <v>1378</v>
      </c>
      <c r="O94" s="164"/>
      <c r="P94" s="164">
        <v>487</v>
      </c>
      <c r="R94" s="164">
        <v>2160</v>
      </c>
      <c r="T94" s="164">
        <v>222064</v>
      </c>
      <c r="U94" s="164"/>
      <c r="V94" s="175">
        <v>72912</v>
      </c>
      <c r="W94" s="175"/>
      <c r="X94" s="164">
        <v>80480</v>
      </c>
      <c r="Y94" s="178"/>
      <c r="Z94" s="164">
        <v>136448</v>
      </c>
      <c r="AA94" s="178"/>
      <c r="AJ94" s="179"/>
      <c r="AK94" s="172"/>
      <c r="AL94" s="179"/>
      <c r="AM94" s="172"/>
      <c r="AN94" s="179"/>
      <c r="AO94" s="175"/>
      <c r="AP94" s="177"/>
      <c r="AQ94" s="175"/>
      <c r="AR94" s="175"/>
      <c r="AS94" s="175"/>
      <c r="AT94" s="175"/>
      <c r="AU94" s="151"/>
      <c r="AV94" s="182"/>
      <c r="AW94" s="29"/>
      <c r="AX94" s="180"/>
      <c r="AY94" s="29"/>
      <c r="AZ94" s="156"/>
      <c r="BA94" s="145"/>
      <c r="BB94" s="157"/>
      <c r="BC94" s="157"/>
      <c r="BD94" s="157"/>
      <c r="BE94" s="84"/>
      <c r="BF94" s="145"/>
      <c r="BG94" s="84"/>
      <c r="BH94" s="145"/>
      <c r="BI94" s="84"/>
      <c r="BJ94" s="145"/>
      <c r="BK94" s="84"/>
      <c r="BL94" s="145"/>
      <c r="BN94" s="145"/>
      <c r="BO94" s="84"/>
      <c r="BP94" s="145"/>
    </row>
    <row r="95" spans="2:69" ht="25.15" customHeight="1" x14ac:dyDescent="0.2">
      <c r="B95" s="39"/>
      <c r="C95" s="435" t="s">
        <v>89</v>
      </c>
      <c r="D95" s="42">
        <v>1</v>
      </c>
      <c r="E95" s="164"/>
      <c r="F95" s="164">
        <v>2</v>
      </c>
      <c r="G95" s="164"/>
      <c r="H95" s="164">
        <v>1</v>
      </c>
      <c r="J95" s="164">
        <v>2</v>
      </c>
      <c r="L95" s="511">
        <v>169</v>
      </c>
      <c r="M95" s="511"/>
      <c r="N95" s="43">
        <v>10064</v>
      </c>
      <c r="O95" s="164"/>
      <c r="P95" s="164">
        <v>5000</v>
      </c>
      <c r="R95" s="164">
        <v>565</v>
      </c>
      <c r="T95" s="164">
        <v>2704</v>
      </c>
      <c r="U95" s="164"/>
      <c r="V95" s="175">
        <v>80512</v>
      </c>
      <c r="W95" s="175"/>
      <c r="X95" s="164">
        <v>40000</v>
      </c>
      <c r="Y95" s="178"/>
      <c r="Z95" s="164">
        <v>4760</v>
      </c>
      <c r="AA95" s="178"/>
      <c r="AJ95" s="179"/>
      <c r="AK95" s="172"/>
      <c r="AL95" s="179"/>
      <c r="AM95" s="172"/>
      <c r="AN95" s="179"/>
      <c r="AO95" s="175"/>
      <c r="AP95" s="177"/>
      <c r="AQ95" s="175"/>
      <c r="AR95" s="175"/>
      <c r="AS95" s="175"/>
      <c r="AT95" s="175"/>
      <c r="AU95" s="151"/>
      <c r="AV95" s="180"/>
      <c r="AW95" s="29"/>
      <c r="AX95" s="180"/>
      <c r="AY95" s="29"/>
      <c r="AZ95" s="158"/>
      <c r="BA95" s="145"/>
      <c r="BB95" s="157"/>
      <c r="BC95" s="157"/>
      <c r="BD95" s="157"/>
      <c r="BE95" s="84"/>
      <c r="BF95" s="145"/>
      <c r="BG95" s="84"/>
      <c r="BH95" s="145"/>
      <c r="BI95" s="84"/>
      <c r="BJ95" s="145"/>
      <c r="BK95" s="84"/>
      <c r="BL95" s="145"/>
      <c r="BN95" s="145"/>
      <c r="BO95" s="84"/>
      <c r="BP95" s="145"/>
    </row>
    <row r="96" spans="2:69" ht="25.15" customHeight="1" x14ac:dyDescent="0.2">
      <c r="B96" s="39"/>
      <c r="C96" s="435" t="s">
        <v>109</v>
      </c>
      <c r="D96" s="42">
        <v>1</v>
      </c>
      <c r="E96" s="164"/>
      <c r="F96" s="164">
        <v>0</v>
      </c>
      <c r="G96" s="164"/>
      <c r="H96" s="164">
        <v>2</v>
      </c>
      <c r="J96" s="164">
        <v>1</v>
      </c>
      <c r="L96" s="545" t="s">
        <v>272</v>
      </c>
      <c r="M96" s="512"/>
      <c r="N96" s="43">
        <v>0</v>
      </c>
      <c r="O96" s="328"/>
      <c r="P96" s="164">
        <v>421</v>
      </c>
      <c r="R96" s="164">
        <v>40</v>
      </c>
      <c r="T96" s="325" t="s">
        <v>62</v>
      </c>
      <c r="U96" s="164"/>
      <c r="V96" s="175">
        <v>0</v>
      </c>
      <c r="W96" s="175"/>
      <c r="X96" s="164">
        <v>4912</v>
      </c>
      <c r="Y96" s="178"/>
      <c r="Z96" s="164">
        <v>2880</v>
      </c>
      <c r="AA96" s="178"/>
      <c r="AJ96" s="179"/>
      <c r="AK96" s="172"/>
      <c r="AL96" s="179"/>
      <c r="AM96" s="172"/>
      <c r="AN96" s="179"/>
      <c r="AO96" s="175"/>
      <c r="AP96" s="177"/>
      <c r="AQ96" s="175"/>
      <c r="AR96" s="175"/>
      <c r="AS96" s="175"/>
      <c r="AT96" s="175"/>
      <c r="AU96" s="151"/>
      <c r="AV96" s="180"/>
      <c r="AW96" s="29"/>
      <c r="AX96" s="180"/>
      <c r="AY96" s="29"/>
      <c r="AZ96" s="156"/>
      <c r="BA96" s="145"/>
      <c r="BB96" s="157"/>
      <c r="BC96" s="157"/>
      <c r="BD96" s="157"/>
      <c r="BE96" s="84"/>
      <c r="BF96" s="145"/>
      <c r="BG96" s="84"/>
      <c r="BH96" s="145"/>
      <c r="BI96" s="84"/>
      <c r="BJ96" s="145"/>
      <c r="BK96" s="84"/>
      <c r="BL96" s="145"/>
      <c r="BN96" s="145"/>
      <c r="BO96" s="84"/>
      <c r="BP96" s="145"/>
    </row>
    <row r="97" spans="2:68" ht="25.15" customHeight="1" x14ac:dyDescent="0.2">
      <c r="B97" s="39"/>
      <c r="C97" s="435" t="s">
        <v>141</v>
      </c>
      <c r="D97" s="42">
        <v>2</v>
      </c>
      <c r="E97" s="164"/>
      <c r="F97" s="164">
        <v>3</v>
      </c>
      <c r="G97" s="164"/>
      <c r="H97" s="164">
        <v>1</v>
      </c>
      <c r="J97" s="164">
        <v>3</v>
      </c>
      <c r="L97" s="511">
        <v>143</v>
      </c>
      <c r="M97" s="511"/>
      <c r="N97" s="43">
        <v>712</v>
      </c>
      <c r="O97" s="164"/>
      <c r="P97" s="164">
        <v>390</v>
      </c>
      <c r="R97" s="164">
        <v>113</v>
      </c>
      <c r="T97" s="164">
        <v>5176</v>
      </c>
      <c r="U97" s="164"/>
      <c r="V97" s="175">
        <v>18064</v>
      </c>
      <c r="W97" s="175"/>
      <c r="X97" s="164">
        <v>6240</v>
      </c>
      <c r="Y97" s="178"/>
      <c r="Z97" s="164">
        <v>2384</v>
      </c>
      <c r="AA97" s="178"/>
      <c r="AJ97" s="179"/>
      <c r="AK97" s="172"/>
      <c r="AL97" s="179"/>
      <c r="AM97" s="172"/>
      <c r="AN97" s="179"/>
      <c r="AO97" s="175"/>
      <c r="AP97" s="177"/>
      <c r="AQ97" s="175"/>
      <c r="AR97" s="175"/>
      <c r="AS97" s="175"/>
      <c r="AT97" s="175"/>
      <c r="AU97" s="151"/>
      <c r="AV97" s="180"/>
      <c r="AW97" s="29"/>
      <c r="AX97" s="180"/>
      <c r="AY97" s="29"/>
      <c r="AZ97" s="157"/>
      <c r="BA97" s="145"/>
      <c r="BB97" s="157"/>
      <c r="BC97" s="157"/>
      <c r="BD97" s="157"/>
      <c r="BE97" s="84"/>
      <c r="BF97" s="145"/>
      <c r="BG97" s="84"/>
      <c r="BH97" s="145"/>
      <c r="BI97" s="84"/>
      <c r="BJ97" s="145"/>
      <c r="BK97" s="84"/>
      <c r="BL97" s="145"/>
      <c r="BN97" s="145"/>
      <c r="BO97" s="84"/>
      <c r="BP97" s="145"/>
    </row>
    <row r="98" spans="2:68" ht="25.15" customHeight="1" x14ac:dyDescent="0.2">
      <c r="B98" s="39"/>
      <c r="C98" s="435" t="s">
        <v>93</v>
      </c>
      <c r="D98" s="43">
        <v>0</v>
      </c>
      <c r="E98" s="164"/>
      <c r="F98" s="164">
        <v>0</v>
      </c>
      <c r="G98" s="164"/>
      <c r="H98" s="164">
        <v>0</v>
      </c>
      <c r="J98" s="164">
        <v>0</v>
      </c>
      <c r="L98" s="511">
        <v>0</v>
      </c>
      <c r="M98" s="511"/>
      <c r="N98" s="43">
        <v>0</v>
      </c>
      <c r="O98" s="164"/>
      <c r="P98" s="164">
        <v>0</v>
      </c>
      <c r="R98" s="164">
        <v>0</v>
      </c>
      <c r="T98" s="164">
        <v>0</v>
      </c>
      <c r="U98" s="164"/>
      <c r="V98" s="175">
        <v>0</v>
      </c>
      <c r="W98" s="175"/>
      <c r="X98" s="164">
        <v>0</v>
      </c>
      <c r="Y98" s="178"/>
      <c r="Z98" s="164">
        <v>0</v>
      </c>
      <c r="AA98" s="178"/>
      <c r="AJ98" s="179"/>
      <c r="AK98" s="172"/>
      <c r="AL98" s="179"/>
      <c r="AM98" s="172"/>
      <c r="AN98" s="179"/>
      <c r="AO98" s="175"/>
      <c r="AP98" s="177"/>
      <c r="AQ98" s="175"/>
      <c r="AR98" s="175"/>
      <c r="AS98" s="175"/>
      <c r="AT98" s="175"/>
      <c r="AU98" s="151"/>
      <c r="AV98" s="180"/>
      <c r="AW98" s="29"/>
      <c r="AX98" s="180"/>
      <c r="AY98" s="29"/>
      <c r="AZ98" s="156"/>
      <c r="BA98" s="145"/>
      <c r="BB98" s="157"/>
      <c r="BC98" s="157"/>
      <c r="BD98" s="157"/>
      <c r="BE98" s="84"/>
      <c r="BF98" s="145"/>
      <c r="BG98" s="84"/>
      <c r="BH98" s="145"/>
      <c r="BI98" s="84"/>
      <c r="BJ98" s="145"/>
      <c r="BK98" s="84"/>
      <c r="BL98" s="145"/>
      <c r="BN98" s="145"/>
      <c r="BO98" s="84"/>
      <c r="BP98" s="145"/>
    </row>
    <row r="99" spans="2:68" ht="25.15" customHeight="1" x14ac:dyDescent="0.2">
      <c r="B99" s="39"/>
      <c r="C99" s="435" t="s">
        <v>144</v>
      </c>
      <c r="D99" s="42">
        <v>1</v>
      </c>
      <c r="E99" s="164"/>
      <c r="F99" s="164">
        <v>2</v>
      </c>
      <c r="G99" s="164"/>
      <c r="H99" s="164">
        <v>0</v>
      </c>
      <c r="J99" s="164">
        <v>1</v>
      </c>
      <c r="L99" s="511">
        <v>76</v>
      </c>
      <c r="M99" s="511"/>
      <c r="N99" s="43">
        <v>535</v>
      </c>
      <c r="O99" s="164"/>
      <c r="P99" s="164">
        <v>0</v>
      </c>
      <c r="R99" s="164">
        <v>900</v>
      </c>
      <c r="T99" s="164">
        <v>1216</v>
      </c>
      <c r="U99" s="164"/>
      <c r="V99" s="175">
        <v>8560</v>
      </c>
      <c r="W99" s="175"/>
      <c r="X99" s="164">
        <v>0</v>
      </c>
      <c r="Y99" s="178"/>
      <c r="Z99" s="164">
        <v>14400</v>
      </c>
      <c r="AA99" s="178"/>
      <c r="AJ99" s="179"/>
      <c r="AK99" s="172"/>
      <c r="AL99" s="179"/>
      <c r="AM99" s="172"/>
      <c r="AN99" s="179"/>
      <c r="AO99" s="175"/>
      <c r="AP99" s="177"/>
      <c r="AQ99" s="175"/>
      <c r="AR99" s="175"/>
      <c r="AS99" s="175"/>
      <c r="AT99" s="175"/>
      <c r="AU99" s="151"/>
      <c r="AV99" s="180"/>
      <c r="AW99" s="29"/>
      <c r="AX99" s="180"/>
      <c r="AY99" s="29"/>
      <c r="AZ99" s="157"/>
      <c r="BA99" s="145"/>
      <c r="BB99" s="157"/>
      <c r="BC99" s="157"/>
      <c r="BD99" s="157"/>
      <c r="BE99" s="84"/>
      <c r="BF99" s="145"/>
      <c r="BG99" s="84"/>
      <c r="BH99" s="145"/>
      <c r="BI99" s="84"/>
      <c r="BJ99" s="145"/>
      <c r="BK99" s="84"/>
      <c r="BL99" s="145"/>
      <c r="BN99" s="145"/>
      <c r="BO99" s="84"/>
      <c r="BP99" s="145"/>
    </row>
    <row r="100" spans="2:68" ht="25.15" customHeight="1" x14ac:dyDescent="0.2">
      <c r="B100" s="39"/>
      <c r="C100" s="435" t="s">
        <v>110</v>
      </c>
      <c r="D100" s="42">
        <v>2</v>
      </c>
      <c r="E100" s="164"/>
      <c r="F100" s="164">
        <v>2</v>
      </c>
      <c r="G100" s="164"/>
      <c r="H100" s="164">
        <v>3</v>
      </c>
      <c r="J100" s="164">
        <v>0</v>
      </c>
      <c r="L100" s="511">
        <v>192</v>
      </c>
      <c r="M100" s="511"/>
      <c r="N100" s="43">
        <v>1400</v>
      </c>
      <c r="O100" s="164"/>
      <c r="P100" s="164">
        <v>2720</v>
      </c>
      <c r="R100" s="164">
        <v>0</v>
      </c>
      <c r="T100" s="164">
        <v>1536</v>
      </c>
      <c r="U100" s="164"/>
      <c r="V100" s="175">
        <v>12320</v>
      </c>
      <c r="W100" s="175"/>
      <c r="X100" s="164">
        <v>21760</v>
      </c>
      <c r="Y100" s="178"/>
      <c r="Z100" s="164">
        <v>0</v>
      </c>
      <c r="AA100" s="178"/>
      <c r="AJ100" s="179"/>
      <c r="AK100" s="172"/>
      <c r="AL100" s="179"/>
      <c r="AM100" s="172"/>
      <c r="AN100" s="179"/>
      <c r="AO100" s="175"/>
      <c r="AP100" s="177"/>
      <c r="AQ100" s="175"/>
      <c r="AR100" s="175"/>
      <c r="AS100" s="175"/>
      <c r="AT100" s="175"/>
      <c r="AU100" s="151"/>
      <c r="AV100" s="180"/>
      <c r="AW100" s="29"/>
      <c r="AX100" s="180"/>
      <c r="AY100" s="29"/>
      <c r="AZ100" s="157"/>
      <c r="BA100" s="145"/>
      <c r="BB100" s="157"/>
      <c r="BC100" s="157"/>
      <c r="BD100" s="157"/>
      <c r="BE100" s="84"/>
      <c r="BF100" s="145"/>
      <c r="BG100" s="84"/>
      <c r="BH100" s="145"/>
      <c r="BI100" s="84"/>
      <c r="BJ100" s="145"/>
      <c r="BK100" s="84"/>
      <c r="BL100" s="145"/>
      <c r="BN100" s="145"/>
      <c r="BO100" s="84"/>
      <c r="BP100" s="145"/>
    </row>
    <row r="101" spans="2:68" ht="25.15" customHeight="1" x14ac:dyDescent="0.2">
      <c r="B101" s="39"/>
      <c r="C101" s="434" t="s">
        <v>91</v>
      </c>
      <c r="D101" s="42">
        <v>0</v>
      </c>
      <c r="E101" s="164"/>
      <c r="F101" s="164">
        <v>0</v>
      </c>
      <c r="G101" s="164"/>
      <c r="H101" s="164">
        <v>0</v>
      </c>
      <c r="J101" s="164">
        <v>0</v>
      </c>
      <c r="L101" s="511">
        <v>0</v>
      </c>
      <c r="M101" s="511"/>
      <c r="N101" s="43">
        <v>0</v>
      </c>
      <c r="O101" s="164"/>
      <c r="P101" s="164">
        <v>0</v>
      </c>
      <c r="R101" s="164">
        <v>0</v>
      </c>
      <c r="T101" s="164">
        <v>0</v>
      </c>
      <c r="U101" s="164"/>
      <c r="V101" s="175">
        <v>0</v>
      </c>
      <c r="W101" s="175"/>
      <c r="X101" s="164">
        <v>0</v>
      </c>
      <c r="Y101" s="178"/>
      <c r="Z101" s="164">
        <v>0</v>
      </c>
      <c r="AA101" s="178"/>
      <c r="AJ101" s="179"/>
      <c r="AK101" s="172"/>
      <c r="AL101" s="179"/>
      <c r="AM101" s="172"/>
      <c r="AN101" s="179"/>
      <c r="AO101" s="175"/>
      <c r="AP101" s="177"/>
      <c r="AQ101" s="175"/>
      <c r="AR101" s="175"/>
      <c r="AS101" s="175"/>
      <c r="AT101" s="175"/>
      <c r="AU101" s="151"/>
      <c r="AV101" s="180"/>
      <c r="AW101" s="29"/>
      <c r="AX101" s="180"/>
      <c r="AY101" s="29"/>
      <c r="AZ101" s="156"/>
      <c r="BA101" s="145"/>
      <c r="BB101" s="157"/>
      <c r="BC101" s="157"/>
      <c r="BD101" s="157"/>
      <c r="BE101" s="84"/>
      <c r="BF101" s="145"/>
      <c r="BG101" s="84"/>
      <c r="BH101" s="145"/>
      <c r="BI101" s="84"/>
      <c r="BJ101" s="145"/>
      <c r="BK101" s="84"/>
      <c r="BL101" s="145"/>
      <c r="BN101" s="145"/>
      <c r="BO101" s="84"/>
      <c r="BP101" s="145"/>
    </row>
    <row r="102" spans="2:68" ht="25.15" customHeight="1" x14ac:dyDescent="0.2">
      <c r="B102" s="39"/>
      <c r="C102" s="434" t="s">
        <v>111</v>
      </c>
      <c r="D102" s="42">
        <v>16</v>
      </c>
      <c r="E102" s="164"/>
      <c r="F102" s="164">
        <v>23</v>
      </c>
      <c r="G102" s="164"/>
      <c r="H102" s="164">
        <v>33</v>
      </c>
      <c r="J102" s="164">
        <v>20</v>
      </c>
      <c r="L102" s="511">
        <v>23189</v>
      </c>
      <c r="M102" s="511"/>
      <c r="N102" s="43">
        <v>60332</v>
      </c>
      <c r="O102" s="164"/>
      <c r="P102" s="164">
        <v>47178</v>
      </c>
      <c r="R102" s="164">
        <v>48146</v>
      </c>
      <c r="T102" s="164">
        <v>1097324</v>
      </c>
      <c r="U102" s="164"/>
      <c r="V102" s="175">
        <v>1090288</v>
      </c>
      <c r="W102" s="175"/>
      <c r="X102" s="164">
        <v>1950976</v>
      </c>
      <c r="Y102" s="178"/>
      <c r="Z102" s="164">
        <v>6099568</v>
      </c>
      <c r="AA102" s="178"/>
      <c r="AJ102" s="179"/>
      <c r="AK102" s="172"/>
      <c r="AL102" s="179"/>
      <c r="AM102" s="172"/>
      <c r="AN102" s="179"/>
      <c r="AO102" s="175"/>
      <c r="AP102" s="177"/>
      <c r="AQ102" s="175"/>
      <c r="AR102" s="175"/>
      <c r="AS102" s="175"/>
      <c r="AT102" s="175"/>
      <c r="AU102" s="151"/>
      <c r="AV102" s="182"/>
      <c r="AW102" s="29"/>
      <c r="AX102" s="180"/>
      <c r="AY102" s="29"/>
      <c r="AZ102" s="156"/>
      <c r="BA102" s="145"/>
      <c r="BB102" s="157"/>
      <c r="BC102" s="157"/>
      <c r="BD102" s="157"/>
      <c r="BE102" s="84"/>
      <c r="BF102" s="145"/>
      <c r="BG102" s="84"/>
      <c r="BH102" s="145"/>
      <c r="BI102" s="84"/>
      <c r="BJ102" s="145"/>
      <c r="BK102" s="84"/>
      <c r="BL102" s="145"/>
      <c r="BN102" s="145"/>
      <c r="BO102" s="84"/>
      <c r="BP102" s="145"/>
    </row>
    <row r="103" spans="2:68" ht="25.15" customHeight="1" x14ac:dyDescent="0.2">
      <c r="B103" s="39"/>
      <c r="C103" s="435" t="s">
        <v>19</v>
      </c>
      <c r="D103" s="42">
        <v>0</v>
      </c>
      <c r="E103" s="164"/>
      <c r="F103" s="164">
        <v>3</v>
      </c>
      <c r="G103" s="164"/>
      <c r="H103" s="164">
        <v>1</v>
      </c>
      <c r="J103" s="164">
        <v>6</v>
      </c>
      <c r="L103" s="511">
        <v>0</v>
      </c>
      <c r="M103" s="511"/>
      <c r="N103" s="43">
        <v>146</v>
      </c>
      <c r="O103" s="164"/>
      <c r="P103" s="164">
        <v>16</v>
      </c>
      <c r="R103" s="164">
        <v>567</v>
      </c>
      <c r="T103" s="164">
        <v>0</v>
      </c>
      <c r="U103" s="164"/>
      <c r="V103" s="175">
        <v>28648</v>
      </c>
      <c r="W103" s="175"/>
      <c r="X103" s="164">
        <v>256</v>
      </c>
      <c r="Y103" s="178"/>
      <c r="Z103" s="164">
        <v>11800</v>
      </c>
      <c r="AA103" s="178"/>
      <c r="AJ103" s="179"/>
      <c r="AK103" s="172"/>
      <c r="AL103" s="179"/>
      <c r="AM103" s="172"/>
      <c r="AN103" s="179"/>
      <c r="AO103" s="175"/>
      <c r="AP103" s="177"/>
      <c r="AQ103" s="175"/>
      <c r="AR103" s="175"/>
      <c r="AS103" s="175"/>
      <c r="AT103" s="175"/>
      <c r="AU103" s="151"/>
      <c r="AV103" s="180"/>
      <c r="AW103" s="29"/>
      <c r="AX103" s="180"/>
      <c r="AY103" s="29"/>
      <c r="AZ103" s="157"/>
      <c r="BA103" s="145"/>
      <c r="BB103" s="157"/>
      <c r="BC103" s="157"/>
      <c r="BD103" s="157"/>
      <c r="BE103" s="84"/>
      <c r="BF103" s="145"/>
      <c r="BG103" s="84"/>
      <c r="BH103" s="145"/>
      <c r="BI103" s="84"/>
      <c r="BJ103" s="145"/>
      <c r="BK103" s="84"/>
      <c r="BL103" s="145"/>
      <c r="BN103" s="145"/>
      <c r="BO103" s="84"/>
      <c r="BP103" s="145"/>
    </row>
    <row r="104" spans="2:68" ht="25.15" customHeight="1" x14ac:dyDescent="0.2">
      <c r="B104" s="39"/>
      <c r="C104" s="435" t="s">
        <v>46</v>
      </c>
      <c r="D104" s="42">
        <v>1</v>
      </c>
      <c r="E104" s="164"/>
      <c r="F104" s="164">
        <v>1</v>
      </c>
      <c r="G104" s="164"/>
      <c r="H104" s="164">
        <v>8</v>
      </c>
      <c r="J104" s="164">
        <v>10</v>
      </c>
      <c r="L104" s="511">
        <v>1600</v>
      </c>
      <c r="M104" s="511"/>
      <c r="N104" s="43">
        <v>38</v>
      </c>
      <c r="O104" s="164"/>
      <c r="P104" s="164">
        <v>19174</v>
      </c>
      <c r="R104" s="164">
        <v>20837</v>
      </c>
      <c r="T104" s="164">
        <v>528000</v>
      </c>
      <c r="U104" s="164"/>
      <c r="V104" s="175">
        <v>4256</v>
      </c>
      <c r="W104" s="175"/>
      <c r="X104" s="164">
        <v>102084</v>
      </c>
      <c r="Y104" s="178"/>
      <c r="Z104" s="164">
        <v>1317726</v>
      </c>
      <c r="AA104" s="178"/>
      <c r="AJ104" s="179"/>
      <c r="AK104" s="172"/>
      <c r="AL104" s="179"/>
      <c r="AM104" s="172"/>
      <c r="AN104" s="179"/>
      <c r="AO104" s="175"/>
      <c r="AP104" s="177"/>
      <c r="AQ104" s="175"/>
      <c r="AR104" s="175"/>
      <c r="AS104" s="175"/>
      <c r="AT104" s="175"/>
      <c r="AU104" s="151"/>
      <c r="AV104" s="180"/>
      <c r="AW104" s="29"/>
      <c r="AX104" s="180"/>
      <c r="AY104" s="29"/>
      <c r="AZ104" s="157"/>
      <c r="BA104" s="145"/>
      <c r="BB104" s="157"/>
      <c r="BC104" s="157"/>
      <c r="BD104" s="157"/>
      <c r="BE104" s="84"/>
      <c r="BF104" s="145"/>
      <c r="BG104" s="84"/>
      <c r="BH104" s="145"/>
      <c r="BI104" s="84"/>
      <c r="BJ104" s="145"/>
      <c r="BK104" s="84"/>
      <c r="BL104" s="145"/>
      <c r="BN104" s="145"/>
      <c r="BO104" s="84"/>
      <c r="BP104" s="145"/>
    </row>
    <row r="105" spans="2:68" ht="25.15" customHeight="1" x14ac:dyDescent="0.2">
      <c r="B105" s="39"/>
      <c r="C105" s="435" t="s">
        <v>142</v>
      </c>
      <c r="D105" s="43">
        <v>1</v>
      </c>
      <c r="E105" s="164"/>
      <c r="F105" s="164">
        <v>0</v>
      </c>
      <c r="G105" s="164"/>
      <c r="H105" s="164">
        <v>1</v>
      </c>
      <c r="J105" s="164">
        <v>0</v>
      </c>
      <c r="L105" s="511">
        <v>55</v>
      </c>
      <c r="M105" s="511"/>
      <c r="N105" s="43">
        <v>0</v>
      </c>
      <c r="O105" s="164"/>
      <c r="P105" s="164">
        <v>500</v>
      </c>
      <c r="R105" s="164">
        <v>0</v>
      </c>
      <c r="T105" s="164">
        <v>1760</v>
      </c>
      <c r="U105" s="164"/>
      <c r="V105" s="175">
        <v>0</v>
      </c>
      <c r="W105" s="175"/>
      <c r="X105" s="164">
        <v>4000</v>
      </c>
      <c r="Y105" s="178"/>
      <c r="Z105" s="164">
        <v>0</v>
      </c>
      <c r="AA105" s="178"/>
      <c r="AJ105" s="179"/>
      <c r="AK105" s="172"/>
      <c r="AL105" s="179"/>
      <c r="AM105" s="172"/>
      <c r="AN105" s="179"/>
      <c r="AO105" s="175"/>
      <c r="AP105" s="177"/>
      <c r="AQ105" s="175"/>
      <c r="AR105" s="175"/>
      <c r="AS105" s="175"/>
      <c r="AT105" s="175"/>
      <c r="AU105" s="167"/>
      <c r="AV105" s="180"/>
      <c r="AW105" s="29"/>
      <c r="AX105" s="180"/>
      <c r="AY105" s="29"/>
      <c r="AZ105" s="157"/>
      <c r="BA105" s="145"/>
      <c r="BB105" s="157"/>
      <c r="BC105" s="157"/>
      <c r="BD105" s="157"/>
      <c r="BE105" s="84"/>
      <c r="BF105" s="145"/>
      <c r="BG105" s="84"/>
      <c r="BH105" s="145"/>
      <c r="BI105" s="84"/>
      <c r="BJ105" s="145"/>
      <c r="BK105" s="84"/>
      <c r="BL105" s="145"/>
      <c r="BN105" s="145"/>
      <c r="BO105" s="84"/>
      <c r="BP105" s="145"/>
    </row>
    <row r="106" spans="2:68" ht="25.15" customHeight="1" x14ac:dyDescent="0.2">
      <c r="B106" s="39"/>
      <c r="C106" s="435" t="s">
        <v>92</v>
      </c>
      <c r="D106" s="43">
        <v>0</v>
      </c>
      <c r="E106" s="164"/>
      <c r="F106" s="164">
        <v>0</v>
      </c>
      <c r="G106" s="164"/>
      <c r="H106" s="164">
        <v>0</v>
      </c>
      <c r="J106" s="164">
        <v>0</v>
      </c>
      <c r="L106" s="511">
        <v>0</v>
      </c>
      <c r="M106" s="511"/>
      <c r="N106" s="43">
        <v>0</v>
      </c>
      <c r="O106" s="164"/>
      <c r="P106" s="164">
        <v>0</v>
      </c>
      <c r="R106" s="164">
        <v>0</v>
      </c>
      <c r="T106" s="164">
        <v>0</v>
      </c>
      <c r="U106" s="164"/>
      <c r="V106" s="175">
        <v>0</v>
      </c>
      <c r="W106" s="175"/>
      <c r="X106" s="164">
        <v>0</v>
      </c>
      <c r="Y106" s="178"/>
      <c r="Z106" s="164">
        <v>0</v>
      </c>
      <c r="AA106" s="178"/>
      <c r="AJ106" s="179"/>
      <c r="AK106" s="172"/>
      <c r="AL106" s="179"/>
      <c r="AM106" s="172"/>
      <c r="AN106" s="179"/>
      <c r="AO106" s="175"/>
      <c r="AP106" s="177"/>
      <c r="AQ106" s="175"/>
      <c r="AR106" s="175"/>
      <c r="AS106" s="175"/>
      <c r="AT106" s="175"/>
      <c r="AU106" s="167"/>
      <c r="AV106" s="175"/>
      <c r="AW106" s="29"/>
      <c r="AX106" s="180"/>
      <c r="AY106" s="29"/>
      <c r="AZ106" s="157"/>
      <c r="BA106" s="145"/>
      <c r="BB106" s="157"/>
      <c r="BC106" s="157"/>
      <c r="BD106" s="157"/>
      <c r="BE106" s="84"/>
      <c r="BF106" s="145"/>
      <c r="BG106" s="84"/>
      <c r="BH106" s="145"/>
      <c r="BI106" s="84"/>
      <c r="BJ106" s="145"/>
      <c r="BK106" s="84"/>
      <c r="BL106" s="145"/>
      <c r="BN106" s="145"/>
      <c r="BO106" s="84"/>
      <c r="BP106" s="145"/>
    </row>
    <row r="107" spans="2:68" ht="30" customHeight="1" x14ac:dyDescent="0.2">
      <c r="B107" s="439"/>
      <c r="C107" s="380" t="s">
        <v>6</v>
      </c>
      <c r="D107" s="436">
        <f>SUM(D91:D106)</f>
        <v>41</v>
      </c>
      <c r="E107" s="437"/>
      <c r="F107" s="438">
        <f>SUM(F91:F106)</f>
        <v>55</v>
      </c>
      <c r="G107" s="438"/>
      <c r="H107" s="438">
        <f>SUM(H91:H106)</f>
        <v>63</v>
      </c>
      <c r="I107" s="450"/>
      <c r="J107" s="438">
        <f>SUM(J91:J106)</f>
        <v>58</v>
      </c>
      <c r="K107" s="450"/>
      <c r="L107" s="438">
        <f>SUM(L91:L106)</f>
        <v>29145</v>
      </c>
      <c r="M107" s="438"/>
      <c r="N107" s="438">
        <f t="shared" ref="N107" si="4">SUM(N91:N106)</f>
        <v>77883</v>
      </c>
      <c r="O107" s="438"/>
      <c r="P107" s="438">
        <f>SUM(P91:P106)</f>
        <v>76704</v>
      </c>
      <c r="Q107" s="450"/>
      <c r="R107" s="438">
        <f>SUM(R91:R106)</f>
        <v>74366</v>
      </c>
      <c r="S107" s="450"/>
      <c r="T107" s="438">
        <f t="shared" ref="T107" si="5">SUM(T91:T106)</f>
        <v>2122932</v>
      </c>
      <c r="U107" s="438"/>
      <c r="V107" s="438">
        <f>SUM(V91:V106)</f>
        <v>1462009</v>
      </c>
      <c r="W107" s="438"/>
      <c r="X107" s="438">
        <f>SUM(X91:X106)</f>
        <v>2295516</v>
      </c>
      <c r="Y107" s="440"/>
      <c r="Z107" s="438">
        <f>SUM(Z91:Z106)</f>
        <v>7781734</v>
      </c>
      <c r="AA107" s="440"/>
      <c r="AJ107" s="168"/>
      <c r="AK107" s="168"/>
      <c r="AL107" s="168"/>
      <c r="AM107" s="168"/>
      <c r="AN107" s="168"/>
      <c r="AO107" s="168"/>
      <c r="AP107" s="168"/>
      <c r="AQ107" s="168"/>
      <c r="AR107" s="168"/>
      <c r="AS107" s="168"/>
      <c r="AT107" s="168"/>
      <c r="AU107" s="152"/>
      <c r="AV107" s="170"/>
      <c r="AW107" s="170"/>
      <c r="AX107" s="798"/>
      <c r="AY107" s="798"/>
      <c r="AZ107" s="116"/>
      <c r="BA107" s="70"/>
      <c r="BB107" s="116"/>
      <c r="BC107" s="116"/>
      <c r="BD107" s="116"/>
      <c r="BF107" s="116"/>
      <c r="BH107" s="24"/>
      <c r="BJ107" s="24"/>
      <c r="BL107" s="24"/>
      <c r="BN107" s="24"/>
      <c r="BP107" s="24"/>
    </row>
    <row r="108" spans="2:68" ht="29.25" customHeight="1" x14ac:dyDescent="0.2">
      <c r="B108" s="5" t="s">
        <v>227</v>
      </c>
      <c r="C108" s="6"/>
      <c r="D108" s="6"/>
      <c r="E108" s="6"/>
      <c r="F108" s="6"/>
      <c r="G108" s="7"/>
      <c r="H108" s="6"/>
      <c r="I108" s="6"/>
      <c r="Y108" s="8"/>
      <c r="Z108" s="4"/>
      <c r="AA108" s="8"/>
      <c r="AB108" s="9"/>
      <c r="AC108" s="8"/>
      <c r="AD108" s="9"/>
    </row>
    <row r="109" spans="2:68" ht="29.25" customHeight="1" x14ac:dyDescent="0.2">
      <c r="B109" s="10" t="s">
        <v>258</v>
      </c>
      <c r="C109" s="11"/>
      <c r="D109" s="11"/>
      <c r="E109" s="11"/>
      <c r="F109" s="11"/>
      <c r="G109" s="11"/>
      <c r="H109" s="12"/>
      <c r="I109" s="12"/>
      <c r="J109" s="12"/>
      <c r="K109" s="12"/>
      <c r="Z109" s="13"/>
      <c r="AA109" s="14"/>
      <c r="AB109" s="13"/>
      <c r="AC109" s="14"/>
      <c r="AD109" s="15"/>
    </row>
    <row r="110" spans="2:68" ht="29.25" customHeight="1" x14ac:dyDescent="0.2">
      <c r="B110" s="16" t="s">
        <v>253</v>
      </c>
      <c r="C110" s="1"/>
      <c r="D110" s="17"/>
      <c r="E110" s="18"/>
      <c r="F110" s="17"/>
      <c r="G110" s="19"/>
      <c r="H110" s="20"/>
      <c r="I110" s="21"/>
      <c r="J110" s="21"/>
    </row>
    <row r="111" spans="2:68" ht="30.6" customHeight="1" x14ac:dyDescent="0.2">
      <c r="B111" s="1" t="s">
        <v>328</v>
      </c>
    </row>
    <row r="112" spans="2:68" s="38" customFormat="1" ht="30" customHeight="1" x14ac:dyDescent="0.2">
      <c r="B112" s="815" t="s">
        <v>329</v>
      </c>
      <c r="C112" s="815"/>
      <c r="D112" s="815"/>
      <c r="E112" s="815"/>
      <c r="F112" s="815"/>
      <c r="G112" s="815"/>
      <c r="H112" s="815"/>
      <c r="I112" s="815"/>
      <c r="J112" s="815"/>
      <c r="K112" s="815"/>
      <c r="L112" s="815"/>
      <c r="M112" s="815"/>
      <c r="N112" s="815"/>
      <c r="O112" s="815"/>
      <c r="P112" s="815"/>
      <c r="Q112" s="815"/>
      <c r="R112" s="815"/>
      <c r="S112" s="815"/>
      <c r="T112" s="815"/>
      <c r="U112" s="815"/>
      <c r="V112" s="815"/>
      <c r="W112" s="815"/>
      <c r="X112" s="815"/>
      <c r="Y112" s="815"/>
      <c r="Z112" s="815"/>
      <c r="AA112" s="815"/>
      <c r="AB112" s="815"/>
      <c r="AC112" s="815"/>
      <c r="AD112" s="815"/>
      <c r="AE112" s="815"/>
      <c r="AF112" s="815"/>
      <c r="AG112" s="815"/>
      <c r="AH112" s="815"/>
      <c r="AI112" s="815"/>
      <c r="AJ112" s="815"/>
    </row>
    <row r="113" spans="2:45" ht="22.9" customHeight="1" x14ac:dyDescent="0.2">
      <c r="B113" s="697" t="s">
        <v>330</v>
      </c>
      <c r="C113" s="697"/>
      <c r="D113" s="697"/>
      <c r="E113" s="697"/>
      <c r="F113" s="697"/>
      <c r="G113" s="697"/>
      <c r="H113" s="697"/>
      <c r="I113" s="697"/>
      <c r="J113" s="697"/>
      <c r="K113" s="697"/>
      <c r="L113" s="697"/>
      <c r="M113" s="697"/>
      <c r="N113" s="697"/>
      <c r="O113" s="697"/>
      <c r="P113" s="697"/>
      <c r="Q113" s="697"/>
      <c r="R113" s="697"/>
      <c r="S113" s="697"/>
      <c r="T113" s="697"/>
      <c r="U113" s="697"/>
      <c r="V113" s="697"/>
      <c r="W113" s="697"/>
      <c r="X113" s="697"/>
      <c r="Y113" s="697"/>
      <c r="Z113" s="697"/>
      <c r="AA113" s="697"/>
      <c r="AB113" s="697"/>
      <c r="AC113" s="697"/>
      <c r="AD113" s="697"/>
      <c r="AE113" s="697"/>
      <c r="AF113" s="697"/>
      <c r="AG113" s="697"/>
      <c r="AH113" s="697"/>
      <c r="AI113" s="697"/>
      <c r="AJ113" s="697"/>
      <c r="AK113" s="697"/>
      <c r="AL113" s="697"/>
      <c r="AM113" s="697"/>
      <c r="AN113" s="697"/>
      <c r="AO113" s="697"/>
      <c r="AP113" s="697"/>
      <c r="AQ113" s="697"/>
      <c r="AR113" s="697"/>
      <c r="AS113" s="697"/>
    </row>
  </sheetData>
  <mergeCells count="168">
    <mergeCell ref="B113:AS113"/>
    <mergeCell ref="P87:Q87"/>
    <mergeCell ref="R70:S70"/>
    <mergeCell ref="T70:U70"/>
    <mergeCell ref="AH70:AI70"/>
    <mergeCell ref="AN70:AO70"/>
    <mergeCell ref="AP70:AQ70"/>
    <mergeCell ref="AR70:AS70"/>
    <mergeCell ref="AJ70:AK70"/>
    <mergeCell ref="AL70:AM70"/>
    <mergeCell ref="B69:C70"/>
    <mergeCell ref="D70:E70"/>
    <mergeCell ref="F70:G70"/>
    <mergeCell ref="F87:G87"/>
    <mergeCell ref="H87:I87"/>
    <mergeCell ref="J87:K87"/>
    <mergeCell ref="L87:M87"/>
    <mergeCell ref="B112:AJ112"/>
    <mergeCell ref="R87:S87"/>
    <mergeCell ref="L70:M70"/>
    <mergeCell ref="AD70:AE70"/>
    <mergeCell ref="AJ69:AY69"/>
    <mergeCell ref="BH26:BI26"/>
    <mergeCell ref="AB26:AC26"/>
    <mergeCell ref="AD26:AE26"/>
    <mergeCell ref="BJ26:BK26"/>
    <mergeCell ref="AV26:AW26"/>
    <mergeCell ref="BL26:BM26"/>
    <mergeCell ref="P46:Q46"/>
    <mergeCell ref="R46:S46"/>
    <mergeCell ref="B68:C68"/>
    <mergeCell ref="BB46:BC46"/>
    <mergeCell ref="AT46:AU46"/>
    <mergeCell ref="AZ46:BA46"/>
    <mergeCell ref="Z46:AA46"/>
    <mergeCell ref="AZ67:BQ67"/>
    <mergeCell ref="B25:C26"/>
    <mergeCell ref="B45:C46"/>
    <mergeCell ref="BP26:BQ26"/>
    <mergeCell ref="BJ46:BK46"/>
    <mergeCell ref="AR46:AS46"/>
    <mergeCell ref="BD26:BE26"/>
    <mergeCell ref="BF26:BG26"/>
    <mergeCell ref="AR26:AS26"/>
    <mergeCell ref="AT26:AU26"/>
    <mergeCell ref="BN26:BO26"/>
    <mergeCell ref="DP67:FS67"/>
    <mergeCell ref="FT67:HW67"/>
    <mergeCell ref="HX67:JC67"/>
    <mergeCell ref="D45:S45"/>
    <mergeCell ref="T45:AI45"/>
    <mergeCell ref="AJ45:AX45"/>
    <mergeCell ref="BL46:BM46"/>
    <mergeCell ref="BN46:BO46"/>
    <mergeCell ref="BP46:BQ46"/>
    <mergeCell ref="BH46:BI46"/>
    <mergeCell ref="AP46:AQ46"/>
    <mergeCell ref="BD46:BE46"/>
    <mergeCell ref="BF46:BG46"/>
    <mergeCell ref="H46:I46"/>
    <mergeCell ref="J46:K46"/>
    <mergeCell ref="L46:M46"/>
    <mergeCell ref="AN46:AO46"/>
    <mergeCell ref="X46:Y46"/>
    <mergeCell ref="AB46:AC46"/>
    <mergeCell ref="B65:AY65"/>
    <mergeCell ref="B66:AY66"/>
    <mergeCell ref="N46:O46"/>
    <mergeCell ref="D25:S25"/>
    <mergeCell ref="T25:AI25"/>
    <mergeCell ref="AJ25:AY25"/>
    <mergeCell ref="AZ26:BA26"/>
    <mergeCell ref="BB26:BC26"/>
    <mergeCell ref="AX26:AY26"/>
    <mergeCell ref="N26:O26"/>
    <mergeCell ref="P26:Q26"/>
    <mergeCell ref="R26:S26"/>
    <mergeCell ref="L26:M26"/>
    <mergeCell ref="AF26:AG26"/>
    <mergeCell ref="AH26:AI26"/>
    <mergeCell ref="BJ6:BK6"/>
    <mergeCell ref="AX6:AY6"/>
    <mergeCell ref="B1:AY1"/>
    <mergeCell ref="B2:AY2"/>
    <mergeCell ref="B3:AY3"/>
    <mergeCell ref="B4:AY4"/>
    <mergeCell ref="AZ4:BQ4"/>
    <mergeCell ref="AB6:AC6"/>
    <mergeCell ref="AZ6:BA6"/>
    <mergeCell ref="BB6:BC6"/>
    <mergeCell ref="BD6:BE6"/>
    <mergeCell ref="BF6:BG6"/>
    <mergeCell ref="BL6:BM6"/>
    <mergeCell ref="BN6:BO6"/>
    <mergeCell ref="BP6:BQ6"/>
    <mergeCell ref="X6:Y6"/>
    <mergeCell ref="AH6:AI6"/>
    <mergeCell ref="AJ6:AK6"/>
    <mergeCell ref="Z6:AA6"/>
    <mergeCell ref="P6:Q6"/>
    <mergeCell ref="R6:S6"/>
    <mergeCell ref="DP4:FS4"/>
    <mergeCell ref="FT4:HW4"/>
    <mergeCell ref="HX4:JC4"/>
    <mergeCell ref="D5:S5"/>
    <mergeCell ref="T5:AI5"/>
    <mergeCell ref="AJ5:AY5"/>
    <mergeCell ref="B5:C6"/>
    <mergeCell ref="D6:E6"/>
    <mergeCell ref="F6:G6"/>
    <mergeCell ref="H6:I6"/>
    <mergeCell ref="J6:K6"/>
    <mergeCell ref="L6:M6"/>
    <mergeCell ref="AD6:AE6"/>
    <mergeCell ref="AR6:AS6"/>
    <mergeCell ref="AF6:AG6"/>
    <mergeCell ref="AT6:AU6"/>
    <mergeCell ref="AV6:AW6"/>
    <mergeCell ref="T6:U6"/>
    <mergeCell ref="V6:W6"/>
    <mergeCell ref="BH6:BI6"/>
    <mergeCell ref="AL6:AM6"/>
    <mergeCell ref="AN6:AO6"/>
    <mergeCell ref="AP6:AQ6"/>
    <mergeCell ref="N6:O6"/>
    <mergeCell ref="J70:K70"/>
    <mergeCell ref="D69:S69"/>
    <mergeCell ref="B67:AY67"/>
    <mergeCell ref="T69:AI69"/>
    <mergeCell ref="B89:C90"/>
    <mergeCell ref="AJ89:AY89"/>
    <mergeCell ref="D90:E90"/>
    <mergeCell ref="X90:Y90"/>
    <mergeCell ref="Z90:AA90"/>
    <mergeCell ref="AJ90:AK90"/>
    <mergeCell ref="AL90:AM90"/>
    <mergeCell ref="AN90:AO90"/>
    <mergeCell ref="AP90:AQ90"/>
    <mergeCell ref="AR90:AS90"/>
    <mergeCell ref="AT90:AU90"/>
    <mergeCell ref="H90:I90"/>
    <mergeCell ref="N87:O87"/>
    <mergeCell ref="H70:I70"/>
    <mergeCell ref="N90:O90"/>
    <mergeCell ref="P90:Q90"/>
    <mergeCell ref="J90:K90"/>
    <mergeCell ref="D89:K89"/>
    <mergeCell ref="F90:G90"/>
    <mergeCell ref="L90:M90"/>
    <mergeCell ref="AX107:AY107"/>
    <mergeCell ref="AX87:AY87"/>
    <mergeCell ref="V70:W70"/>
    <mergeCell ref="X70:Y70"/>
    <mergeCell ref="Z70:AA70"/>
    <mergeCell ref="AB70:AC70"/>
    <mergeCell ref="P70:Q70"/>
    <mergeCell ref="AT70:AU70"/>
    <mergeCell ref="AV70:AW70"/>
    <mergeCell ref="AX70:AY70"/>
    <mergeCell ref="L89:S89"/>
    <mergeCell ref="R90:S90"/>
    <mergeCell ref="T89:AA89"/>
    <mergeCell ref="AV90:AW90"/>
    <mergeCell ref="AX90:AY90"/>
    <mergeCell ref="T90:U90"/>
    <mergeCell ref="V90:W90"/>
    <mergeCell ref="AF70:AG70"/>
    <mergeCell ref="N70:O70"/>
  </mergeCells>
  <printOptions horizontalCentered="1" verticalCentered="1"/>
  <pageMargins left="0" right="0" top="0" bottom="0" header="0" footer="0"/>
  <pageSetup paperSize="9" scale="28" orientation="landscape" r:id="rId1"/>
  <rowBreaks count="1" manualBreakCount="1">
    <brk id="64" min="1" max="50" man="1"/>
  </rowBreaks>
  <ignoredErrors>
    <ignoredError sqref="D87:O87 D107 F107:I107 AX63 D63:AW63 AY63 R87 Z87:AY87 D23:AY23" formulaRange="1"/>
  </ignoredError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AW64"/>
  <sheetViews>
    <sheetView showGridLines="0" zoomScale="48" zoomScaleNormal="48" zoomScaleSheetLayoutView="50" workbookViewId="0">
      <selection activeCell="O27" sqref="O27"/>
    </sheetView>
  </sheetViews>
  <sheetFormatPr baseColWidth="10" defaultColWidth="11.42578125" defaultRowHeight="22.5" customHeight="1" x14ac:dyDescent="0.35"/>
  <cols>
    <col min="1" max="1" width="6.42578125" style="38" customWidth="1"/>
    <col min="2" max="2" width="4.28515625" style="38" customWidth="1"/>
    <col min="3" max="3" width="43.42578125" style="38" customWidth="1"/>
    <col min="4" max="4" width="3.140625" style="38" customWidth="1"/>
    <col min="5" max="5" width="25.7109375" style="38" customWidth="1"/>
    <col min="6" max="6" width="4" style="38" customWidth="1"/>
    <col min="7" max="7" width="26.28515625" style="38" customWidth="1"/>
    <col min="8" max="8" width="3.7109375" style="192" customWidth="1"/>
    <col min="9" max="9" width="25.28515625" style="38" customWidth="1"/>
    <col min="10" max="10" width="3.7109375" style="192" customWidth="1"/>
    <col min="11" max="11" width="26" style="38" customWidth="1"/>
    <col min="12" max="12" width="2.7109375" style="192" customWidth="1"/>
    <col min="13" max="13" width="22.42578125" style="38" customWidth="1"/>
    <col min="14" max="14" width="3.85546875" style="192" customWidth="1"/>
    <col min="15" max="15" width="25.7109375" style="38" customWidth="1"/>
    <col min="16" max="16" width="2.7109375" style="192" customWidth="1"/>
    <col min="17" max="17" width="23.28515625" style="38" customWidth="1"/>
    <col min="18" max="18" width="2.7109375" style="192" customWidth="1"/>
    <col min="19" max="19" width="24.85546875" style="38" customWidth="1"/>
    <col min="20" max="20" width="2.7109375" style="192" customWidth="1"/>
    <col min="21" max="21" width="22.42578125" style="38" customWidth="1"/>
    <col min="22" max="22" width="2.7109375" style="192" customWidth="1"/>
    <col min="23" max="23" width="18.7109375" style="38" customWidth="1"/>
    <col min="24" max="24" width="2.7109375" style="38" customWidth="1"/>
    <col min="25" max="25" width="23.28515625" style="38" customWidth="1"/>
    <col min="26" max="26" width="2.7109375" style="192" customWidth="1"/>
    <col min="27" max="27" width="22.5703125" style="38" customWidth="1"/>
    <col min="28" max="28" width="3.28515625" style="567" customWidth="1"/>
    <col min="29" max="29" width="16.7109375" style="38" customWidth="1"/>
    <col min="30" max="30" width="3.42578125" style="38" customWidth="1"/>
    <col min="31" max="16384" width="11.42578125" style="38"/>
  </cols>
  <sheetData>
    <row r="1" spans="2:49" ht="22.5" customHeight="1" x14ac:dyDescent="0.2">
      <c r="B1" s="818" t="s">
        <v>48</v>
      </c>
      <c r="C1" s="818"/>
      <c r="D1" s="818"/>
      <c r="E1" s="818"/>
      <c r="F1" s="818"/>
      <c r="G1" s="818"/>
      <c r="H1" s="818"/>
      <c r="I1" s="818"/>
      <c r="J1" s="818"/>
      <c r="K1" s="818"/>
      <c r="L1" s="818"/>
      <c r="M1" s="818"/>
      <c r="N1" s="818"/>
      <c r="O1" s="818"/>
      <c r="P1" s="818"/>
      <c r="Q1" s="818"/>
      <c r="R1" s="818"/>
      <c r="S1" s="818"/>
      <c r="T1" s="818"/>
      <c r="U1" s="818"/>
      <c r="V1" s="818"/>
      <c r="W1" s="818"/>
      <c r="X1" s="818"/>
      <c r="Y1" s="818"/>
      <c r="Z1" s="818"/>
      <c r="AA1" s="818"/>
      <c r="AB1" s="818"/>
      <c r="AC1" s="818"/>
      <c r="AD1" s="818"/>
      <c r="AE1" s="97"/>
      <c r="AF1" s="97"/>
      <c r="AG1" s="97"/>
      <c r="AH1" s="97"/>
      <c r="AI1" s="97"/>
      <c r="AJ1" s="97"/>
      <c r="AK1" s="97"/>
      <c r="AL1" s="97"/>
      <c r="AM1" s="97"/>
      <c r="AN1" s="97"/>
      <c r="AO1" s="97"/>
      <c r="AP1" s="97"/>
      <c r="AQ1" s="97"/>
      <c r="AR1" s="97"/>
      <c r="AS1" s="97"/>
      <c r="AT1" s="97"/>
      <c r="AU1" s="97"/>
      <c r="AV1" s="97"/>
      <c r="AW1" s="97"/>
    </row>
    <row r="2" spans="2:49" s="1" customFormat="1" ht="30" customHeight="1" x14ac:dyDescent="0.2">
      <c r="B2" s="819" t="s">
        <v>145</v>
      </c>
      <c r="C2" s="819"/>
      <c r="D2" s="819"/>
      <c r="E2" s="819"/>
      <c r="F2" s="819"/>
      <c r="G2" s="819"/>
      <c r="H2" s="819"/>
      <c r="I2" s="819"/>
      <c r="J2" s="819"/>
      <c r="K2" s="819"/>
      <c r="L2" s="819"/>
      <c r="M2" s="819"/>
      <c r="N2" s="819"/>
      <c r="O2" s="819"/>
      <c r="P2" s="819"/>
      <c r="Q2" s="819"/>
      <c r="R2" s="819"/>
      <c r="S2" s="819"/>
      <c r="T2" s="819"/>
      <c r="U2" s="819"/>
      <c r="V2" s="819"/>
      <c r="W2" s="819"/>
      <c r="X2" s="819"/>
      <c r="Y2" s="819"/>
      <c r="Z2" s="819"/>
      <c r="AA2" s="819"/>
      <c r="AB2" s="819"/>
      <c r="AC2" s="184"/>
      <c r="AD2" s="184"/>
    </row>
    <row r="3" spans="2:49" s="1" customFormat="1" ht="41.25" customHeight="1" x14ac:dyDescent="0.2">
      <c r="B3" s="818" t="s">
        <v>112</v>
      </c>
      <c r="C3" s="818"/>
      <c r="D3" s="818"/>
      <c r="E3" s="818"/>
      <c r="F3" s="818"/>
      <c r="G3" s="818"/>
      <c r="H3" s="818"/>
      <c r="I3" s="818"/>
      <c r="J3" s="818"/>
      <c r="K3" s="818"/>
      <c r="L3" s="818"/>
      <c r="M3" s="818"/>
      <c r="N3" s="818"/>
      <c r="O3" s="818"/>
      <c r="P3" s="818"/>
      <c r="Q3" s="818"/>
      <c r="R3" s="818"/>
      <c r="S3" s="818"/>
      <c r="T3" s="818"/>
      <c r="U3" s="818"/>
      <c r="V3" s="818"/>
      <c r="W3" s="818"/>
      <c r="X3" s="818"/>
      <c r="Y3" s="818"/>
      <c r="Z3" s="818"/>
      <c r="AA3" s="818"/>
      <c r="AB3" s="818"/>
      <c r="AC3" s="818"/>
      <c r="AD3" s="818"/>
    </row>
    <row r="4" spans="2:49" s="1" customFormat="1" ht="36.75" customHeight="1" x14ac:dyDescent="0.2">
      <c r="B4" s="818">
        <v>2025</v>
      </c>
      <c r="C4" s="818"/>
      <c r="D4" s="818"/>
      <c r="E4" s="818"/>
      <c r="F4" s="818"/>
      <c r="G4" s="818"/>
      <c r="H4" s="818"/>
      <c r="I4" s="818"/>
      <c r="J4" s="818"/>
      <c r="K4" s="818"/>
      <c r="L4" s="818"/>
      <c r="M4" s="818"/>
      <c r="N4" s="818"/>
      <c r="O4" s="818"/>
      <c r="P4" s="818"/>
      <c r="Q4" s="818"/>
      <c r="R4" s="818"/>
      <c r="S4" s="818"/>
      <c r="T4" s="818"/>
      <c r="U4" s="818"/>
      <c r="V4" s="818"/>
      <c r="W4" s="818"/>
      <c r="X4" s="818"/>
      <c r="Y4" s="818"/>
      <c r="Z4" s="818"/>
      <c r="AA4" s="818"/>
      <c r="AB4" s="818"/>
      <c r="AC4" s="818"/>
      <c r="AD4" s="818"/>
    </row>
    <row r="5" spans="2:49" s="1" customFormat="1" ht="46.5" customHeight="1" x14ac:dyDescent="0.2">
      <c r="B5" s="791" t="s">
        <v>24</v>
      </c>
      <c r="C5" s="791"/>
      <c r="D5" s="791"/>
      <c r="E5" s="702" t="s">
        <v>192</v>
      </c>
      <c r="F5" s="699"/>
      <c r="G5" s="699"/>
      <c r="H5" s="699"/>
      <c r="I5" s="699"/>
      <c r="J5" s="699"/>
      <c r="K5" s="699"/>
      <c r="L5" s="699"/>
      <c r="M5" s="699"/>
      <c r="N5" s="699"/>
      <c r="O5" s="699"/>
      <c r="P5" s="699"/>
      <c r="Q5" s="699"/>
      <c r="R5" s="699"/>
      <c r="S5" s="699"/>
      <c r="T5" s="699"/>
      <c r="U5" s="699"/>
      <c r="V5" s="699"/>
      <c r="W5" s="699"/>
      <c r="X5" s="699"/>
      <c r="Y5" s="699"/>
      <c r="Z5" s="700"/>
      <c r="AA5" s="703" t="s">
        <v>86</v>
      </c>
      <c r="AB5" s="703"/>
      <c r="AC5" s="703"/>
      <c r="AD5" s="703"/>
    </row>
    <row r="6" spans="2:49" s="1" customFormat="1" ht="122.25" customHeight="1" x14ac:dyDescent="0.2">
      <c r="B6" s="791"/>
      <c r="C6" s="791"/>
      <c r="D6" s="791"/>
      <c r="E6" s="820" t="s">
        <v>231</v>
      </c>
      <c r="F6" s="821"/>
      <c r="G6" s="817" t="s">
        <v>188</v>
      </c>
      <c r="H6" s="817"/>
      <c r="I6" s="817" t="s">
        <v>131</v>
      </c>
      <c r="J6" s="817"/>
      <c r="K6" s="817" t="s">
        <v>229</v>
      </c>
      <c r="L6" s="817"/>
      <c r="M6" s="817" t="s">
        <v>109</v>
      </c>
      <c r="N6" s="817"/>
      <c r="O6" s="817" t="s">
        <v>232</v>
      </c>
      <c r="P6" s="817"/>
      <c r="Q6" s="817" t="s">
        <v>110</v>
      </c>
      <c r="R6" s="817"/>
      <c r="S6" s="817" t="s">
        <v>189</v>
      </c>
      <c r="T6" s="817"/>
      <c r="U6" s="817" t="s">
        <v>19</v>
      </c>
      <c r="V6" s="817"/>
      <c r="W6" s="820" t="s">
        <v>233</v>
      </c>
      <c r="X6" s="821"/>
      <c r="Y6" s="820" t="s">
        <v>297</v>
      </c>
      <c r="Z6" s="822"/>
      <c r="AA6" s="750" t="s">
        <v>63</v>
      </c>
      <c r="AB6" s="750"/>
      <c r="AC6" s="750" t="s">
        <v>5</v>
      </c>
      <c r="AD6" s="750"/>
    </row>
    <row r="7" spans="2:49" s="1" customFormat="1" ht="25.15" customHeight="1" x14ac:dyDescent="0.2">
      <c r="B7" s="459"/>
      <c r="C7" s="460" t="s">
        <v>25</v>
      </c>
      <c r="D7" s="461"/>
      <c r="E7" s="546"/>
      <c r="F7" s="549"/>
      <c r="G7" s="254"/>
      <c r="H7" s="553"/>
      <c r="I7" s="254"/>
      <c r="J7" s="553"/>
      <c r="K7" s="254"/>
      <c r="L7" s="553"/>
      <c r="M7" s="254"/>
      <c r="N7" s="553"/>
      <c r="O7" s="254"/>
      <c r="P7" s="553"/>
      <c r="Q7" s="254"/>
      <c r="R7" s="553"/>
      <c r="S7" s="254"/>
      <c r="T7" s="553"/>
      <c r="U7" s="254"/>
      <c r="V7" s="553"/>
      <c r="W7" s="254"/>
      <c r="X7" s="254"/>
      <c r="Y7" s="254"/>
      <c r="Z7" s="553"/>
      <c r="AA7" s="329"/>
      <c r="AB7" s="560"/>
      <c r="AC7" s="330"/>
      <c r="AD7" s="331"/>
    </row>
    <row r="8" spans="2:49" s="1" customFormat="1" ht="25.15" customHeight="1" x14ac:dyDescent="0.2">
      <c r="B8" s="459"/>
      <c r="C8" s="389" t="s">
        <v>2</v>
      </c>
      <c r="D8" s="462"/>
      <c r="E8" s="546">
        <v>0</v>
      </c>
      <c r="F8" s="549"/>
      <c r="G8" s="546">
        <v>0</v>
      </c>
      <c r="H8" s="549"/>
      <c r="I8" s="546">
        <v>0</v>
      </c>
      <c r="J8" s="552"/>
      <c r="K8" s="546">
        <v>0</v>
      </c>
      <c r="L8" s="552"/>
      <c r="M8" s="546">
        <v>1</v>
      </c>
      <c r="N8" s="552"/>
      <c r="O8" s="546">
        <v>0</v>
      </c>
      <c r="P8" s="552"/>
      <c r="Q8" s="546">
        <v>0</v>
      </c>
      <c r="R8" s="552"/>
      <c r="S8" s="546">
        <v>1</v>
      </c>
      <c r="T8" s="552"/>
      <c r="U8" s="546">
        <v>0</v>
      </c>
      <c r="V8" s="552"/>
      <c r="W8" s="546">
        <v>0</v>
      </c>
      <c r="X8" s="142"/>
      <c r="Y8" s="546">
        <v>0</v>
      </c>
      <c r="Z8" s="552"/>
      <c r="AA8" s="332">
        <f>SUM(E8:Z8)</f>
        <v>2</v>
      </c>
      <c r="AB8" s="561"/>
      <c r="AC8" s="330">
        <f>AA8/AA56*100</f>
        <v>3.4482758620689653</v>
      </c>
      <c r="AD8" s="331"/>
    </row>
    <row r="9" spans="2:49" s="1" customFormat="1" ht="25.15" customHeight="1" x14ac:dyDescent="0.2">
      <c r="B9" s="459"/>
      <c r="C9" s="389" t="s">
        <v>15</v>
      </c>
      <c r="D9" s="462"/>
      <c r="E9" s="546">
        <v>0</v>
      </c>
      <c r="G9" s="546">
        <v>0</v>
      </c>
      <c r="H9" s="549"/>
      <c r="I9" s="546">
        <v>0</v>
      </c>
      <c r="J9" s="552"/>
      <c r="K9" s="546">
        <v>0</v>
      </c>
      <c r="L9" s="552"/>
      <c r="M9" s="546">
        <v>40</v>
      </c>
      <c r="N9" s="552"/>
      <c r="O9" s="546">
        <v>0</v>
      </c>
      <c r="P9" s="552"/>
      <c r="Q9" s="546">
        <v>0</v>
      </c>
      <c r="R9" s="552"/>
      <c r="S9" s="546">
        <v>20</v>
      </c>
      <c r="T9" s="552"/>
      <c r="U9" s="546">
        <v>0</v>
      </c>
      <c r="V9" s="552"/>
      <c r="W9" s="546">
        <v>0</v>
      </c>
      <c r="X9" s="142"/>
      <c r="Y9" s="546">
        <v>0</v>
      </c>
      <c r="Z9" s="552"/>
      <c r="AA9" s="332">
        <f t="shared" ref="AA9:AA10" si="0">SUM(E9:Z9)</f>
        <v>60</v>
      </c>
      <c r="AB9" s="561"/>
      <c r="AC9" s="330">
        <f>AA9/AA57*100</f>
        <v>8.0682032111448782E-2</v>
      </c>
      <c r="AD9" s="331"/>
    </row>
    <row r="10" spans="2:49" s="1" customFormat="1" ht="25.15" customHeight="1" x14ac:dyDescent="0.2">
      <c r="B10" s="459"/>
      <c r="C10" s="389" t="s">
        <v>16</v>
      </c>
      <c r="D10" s="462"/>
      <c r="E10" s="546">
        <v>0</v>
      </c>
      <c r="F10" s="549"/>
      <c r="G10" s="546">
        <v>44760</v>
      </c>
      <c r="H10" s="568" t="s">
        <v>62</v>
      </c>
      <c r="I10" s="546">
        <v>21960</v>
      </c>
      <c r="J10" s="554" t="s">
        <v>62</v>
      </c>
      <c r="K10" s="546">
        <v>0</v>
      </c>
      <c r="L10" s="552"/>
      <c r="M10" s="546">
        <v>2880</v>
      </c>
      <c r="N10" s="554"/>
      <c r="O10" s="546">
        <v>0</v>
      </c>
      <c r="P10" s="552"/>
      <c r="Q10" s="546">
        <v>0</v>
      </c>
      <c r="R10" s="552"/>
      <c r="S10" s="546">
        <v>6432</v>
      </c>
      <c r="T10" s="552"/>
      <c r="U10" s="546">
        <v>0</v>
      </c>
      <c r="V10" s="552"/>
      <c r="W10" s="546">
        <v>0</v>
      </c>
      <c r="X10" s="142"/>
      <c r="Y10" s="546">
        <v>0</v>
      </c>
      <c r="Z10" s="552"/>
      <c r="AA10" s="332">
        <f t="shared" si="0"/>
        <v>76032</v>
      </c>
      <c r="AB10" s="561"/>
      <c r="AC10" s="330">
        <f>AA10/AA58*100</f>
        <v>0.97705729854040235</v>
      </c>
      <c r="AD10" s="331"/>
    </row>
    <row r="11" spans="2:49" s="1" customFormat="1" ht="25.15" customHeight="1" x14ac:dyDescent="0.2">
      <c r="B11" s="459"/>
      <c r="C11" s="460" t="s">
        <v>26</v>
      </c>
      <c r="D11" s="461"/>
      <c r="F11" s="549"/>
      <c r="G11" s="547"/>
      <c r="H11" s="550"/>
      <c r="I11" s="547"/>
      <c r="J11" s="553"/>
      <c r="K11" s="547"/>
      <c r="L11" s="553"/>
      <c r="M11" s="547"/>
      <c r="N11" s="553"/>
      <c r="O11" s="547"/>
      <c r="P11" s="553"/>
      <c r="Q11" s="547"/>
      <c r="R11" s="553"/>
      <c r="S11" s="547"/>
      <c r="T11" s="553"/>
      <c r="U11" s="547"/>
      <c r="V11" s="553"/>
      <c r="W11" s="547"/>
      <c r="X11" s="254"/>
      <c r="Y11" s="547"/>
      <c r="Z11" s="553"/>
      <c r="AA11" s="329"/>
      <c r="AB11" s="560"/>
      <c r="AC11" s="330"/>
      <c r="AD11" s="331"/>
    </row>
    <row r="12" spans="2:49" s="1" customFormat="1" ht="25.15" customHeight="1" x14ac:dyDescent="0.2">
      <c r="B12" s="459"/>
      <c r="C12" s="389" t="s">
        <v>2</v>
      </c>
      <c r="D12" s="462"/>
      <c r="E12" s="546">
        <v>0</v>
      </c>
      <c r="F12" s="549"/>
      <c r="G12" s="546">
        <v>0</v>
      </c>
      <c r="H12" s="549"/>
      <c r="I12" s="546">
        <v>1</v>
      </c>
      <c r="J12" s="552"/>
      <c r="K12" s="546">
        <v>0</v>
      </c>
      <c r="L12" s="552"/>
      <c r="M12" s="546">
        <v>0</v>
      </c>
      <c r="N12" s="552"/>
      <c r="O12" s="546">
        <v>0</v>
      </c>
      <c r="P12" s="552"/>
      <c r="Q12" s="546">
        <v>0</v>
      </c>
      <c r="R12" s="552"/>
      <c r="S12" s="546">
        <v>2</v>
      </c>
      <c r="T12" s="552"/>
      <c r="U12" s="546">
        <v>0</v>
      </c>
      <c r="V12" s="552"/>
      <c r="W12" s="546">
        <v>0</v>
      </c>
      <c r="X12" s="142"/>
      <c r="Y12" s="546">
        <v>0</v>
      </c>
      <c r="Z12" s="552"/>
      <c r="AA12" s="332">
        <f>SUM(E12:Z12)</f>
        <v>3</v>
      </c>
      <c r="AB12" s="561"/>
      <c r="AC12" s="330">
        <f>AA12/AA56*100</f>
        <v>5.1724137931034484</v>
      </c>
      <c r="AD12" s="331"/>
    </row>
    <row r="13" spans="2:49" s="1" customFormat="1" ht="25.15" customHeight="1" x14ac:dyDescent="0.2">
      <c r="B13" s="459"/>
      <c r="C13" s="389" t="s">
        <v>15</v>
      </c>
      <c r="D13" s="462"/>
      <c r="E13" s="546">
        <v>0</v>
      </c>
      <c r="G13" s="546">
        <v>0</v>
      </c>
      <c r="H13" s="549"/>
      <c r="I13" s="546">
        <v>30</v>
      </c>
      <c r="J13" s="552"/>
      <c r="K13" s="546">
        <v>0</v>
      </c>
      <c r="L13" s="552"/>
      <c r="M13" s="546">
        <v>0</v>
      </c>
      <c r="N13" s="552"/>
      <c r="O13" s="546">
        <v>0</v>
      </c>
      <c r="P13" s="552"/>
      <c r="Q13" s="546">
        <v>0</v>
      </c>
      <c r="R13" s="552"/>
      <c r="S13" s="546">
        <v>100</v>
      </c>
      <c r="T13" s="552"/>
      <c r="U13" s="546">
        <v>0</v>
      </c>
      <c r="V13" s="552"/>
      <c r="W13" s="546">
        <v>0</v>
      </c>
      <c r="X13" s="142"/>
      <c r="Y13" s="546">
        <v>0</v>
      </c>
      <c r="Z13" s="552"/>
      <c r="AA13" s="332">
        <f t="shared" ref="AA13:AA14" si="1">SUM(E13:Z13)</f>
        <v>130</v>
      </c>
      <c r="AB13" s="561"/>
      <c r="AC13" s="330">
        <f>AA13/AA57*100</f>
        <v>0.17481106957480569</v>
      </c>
      <c r="AD13" s="331"/>
    </row>
    <row r="14" spans="2:49" s="1" customFormat="1" ht="25.15" customHeight="1" x14ac:dyDescent="0.2">
      <c r="B14" s="459"/>
      <c r="C14" s="389" t="s">
        <v>16</v>
      </c>
      <c r="D14" s="462"/>
      <c r="E14" s="546">
        <v>0</v>
      </c>
      <c r="F14" s="549"/>
      <c r="G14" s="546">
        <v>14784</v>
      </c>
      <c r="H14" s="568" t="s">
        <v>62</v>
      </c>
      <c r="I14" s="546">
        <v>1280</v>
      </c>
      <c r="J14" s="554"/>
      <c r="K14" s="546">
        <v>0</v>
      </c>
      <c r="L14" s="552"/>
      <c r="M14" s="546">
        <v>0</v>
      </c>
      <c r="N14" s="554"/>
      <c r="O14" s="546">
        <v>0</v>
      </c>
      <c r="P14" s="552"/>
      <c r="Q14" s="546">
        <v>0</v>
      </c>
      <c r="R14" s="552"/>
      <c r="S14" s="546">
        <v>2400</v>
      </c>
      <c r="T14" s="552"/>
      <c r="U14" s="546">
        <v>0</v>
      </c>
      <c r="V14" s="552"/>
      <c r="W14" s="546">
        <v>0</v>
      </c>
      <c r="X14" s="142"/>
      <c r="Y14" s="546">
        <v>0</v>
      </c>
      <c r="Z14" s="552"/>
      <c r="AA14" s="332">
        <f t="shared" si="1"/>
        <v>18464</v>
      </c>
      <c r="AB14" s="562"/>
      <c r="AC14" s="330">
        <f>AA14/AA58*100</f>
        <v>0.23727359480547652</v>
      </c>
      <c r="AD14" s="331"/>
    </row>
    <row r="15" spans="2:49" s="1" customFormat="1" ht="25.15" customHeight="1" x14ac:dyDescent="0.2">
      <c r="B15" s="459"/>
      <c r="C15" s="460" t="s">
        <v>27</v>
      </c>
      <c r="D15" s="463"/>
      <c r="F15" s="549"/>
      <c r="G15" s="547"/>
      <c r="H15" s="550"/>
      <c r="I15" s="534"/>
      <c r="J15" s="552"/>
      <c r="K15" s="547"/>
      <c r="L15" s="553"/>
      <c r="M15" s="547"/>
      <c r="N15" s="553"/>
      <c r="O15" s="547"/>
      <c r="P15" s="553"/>
      <c r="Q15" s="547"/>
      <c r="R15" s="553"/>
      <c r="S15" s="547"/>
      <c r="T15" s="553"/>
      <c r="U15" s="547"/>
      <c r="V15" s="553"/>
      <c r="W15" s="547"/>
      <c r="X15" s="254"/>
      <c r="Y15" s="547"/>
      <c r="Z15" s="553"/>
      <c r="AA15" s="329"/>
      <c r="AB15" s="560"/>
      <c r="AC15" s="330"/>
      <c r="AD15" s="331"/>
    </row>
    <row r="16" spans="2:49" s="1" customFormat="1" ht="25.15" customHeight="1" x14ac:dyDescent="0.2">
      <c r="B16" s="459"/>
      <c r="C16" s="389" t="s">
        <v>2</v>
      </c>
      <c r="D16" s="463"/>
      <c r="E16" s="546">
        <v>0</v>
      </c>
      <c r="F16" s="549"/>
      <c r="G16" s="546">
        <v>1</v>
      </c>
      <c r="H16" s="549"/>
      <c r="I16" s="546">
        <v>0</v>
      </c>
      <c r="J16" s="552"/>
      <c r="K16" s="546">
        <v>1</v>
      </c>
      <c r="L16" s="552"/>
      <c r="M16" s="546">
        <v>0</v>
      </c>
      <c r="N16" s="552"/>
      <c r="O16" s="546">
        <v>1</v>
      </c>
      <c r="P16" s="552"/>
      <c r="Q16" s="546">
        <v>0</v>
      </c>
      <c r="R16" s="552"/>
      <c r="S16" s="546">
        <v>0</v>
      </c>
      <c r="T16" s="552"/>
      <c r="U16" s="546">
        <v>0</v>
      </c>
      <c r="V16" s="552"/>
      <c r="W16" s="546">
        <v>0</v>
      </c>
      <c r="X16" s="142"/>
      <c r="Y16" s="546">
        <v>0</v>
      </c>
      <c r="Z16" s="552"/>
      <c r="AA16" s="332">
        <f>SUM(E16:Z16)</f>
        <v>3</v>
      </c>
      <c r="AB16" s="561"/>
      <c r="AC16" s="330">
        <f>AA16/AA56*100</f>
        <v>5.1724137931034484</v>
      </c>
      <c r="AD16" s="331"/>
    </row>
    <row r="17" spans="2:30" s="1" customFormat="1" ht="23.25" x14ac:dyDescent="0.2">
      <c r="B17" s="459"/>
      <c r="C17" s="389" t="s">
        <v>15</v>
      </c>
      <c r="D17" s="463"/>
      <c r="E17" s="546">
        <v>0</v>
      </c>
      <c r="G17" s="546">
        <v>400</v>
      </c>
      <c r="H17" s="549"/>
      <c r="I17" s="546">
        <v>0</v>
      </c>
      <c r="J17" s="552"/>
      <c r="K17" s="546">
        <v>535</v>
      </c>
      <c r="L17" s="552"/>
      <c r="M17" s="546">
        <v>0</v>
      </c>
      <c r="N17" s="552"/>
      <c r="O17" s="546">
        <v>30</v>
      </c>
      <c r="P17" s="552"/>
      <c r="Q17" s="546">
        <v>0</v>
      </c>
      <c r="R17" s="552"/>
      <c r="S17" s="546">
        <v>0</v>
      </c>
      <c r="T17" s="552"/>
      <c r="U17" s="546">
        <v>0</v>
      </c>
      <c r="V17" s="552"/>
      <c r="W17" s="546">
        <v>0</v>
      </c>
      <c r="X17" s="142"/>
      <c r="Y17" s="546">
        <v>0</v>
      </c>
      <c r="Z17" s="552"/>
      <c r="AA17" s="332">
        <f t="shared" ref="AA17:AA18" si="2">SUM(E17:Z17)</f>
        <v>965</v>
      </c>
      <c r="AB17" s="561"/>
      <c r="AC17" s="330">
        <f>AA17/AA57*100</f>
        <v>1.2976360164591345</v>
      </c>
      <c r="AD17" s="331"/>
    </row>
    <row r="18" spans="2:30" s="1" customFormat="1" ht="23.25" x14ac:dyDescent="0.2">
      <c r="B18" s="459"/>
      <c r="C18" s="389" t="s">
        <v>16</v>
      </c>
      <c r="D18" s="463"/>
      <c r="E18" s="546">
        <v>0</v>
      </c>
      <c r="F18" s="549"/>
      <c r="G18" s="546">
        <v>29168</v>
      </c>
      <c r="H18" s="569"/>
      <c r="I18" s="546">
        <v>0</v>
      </c>
      <c r="J18" s="554"/>
      <c r="K18" s="546">
        <v>4280</v>
      </c>
      <c r="L18" s="552"/>
      <c r="M18" s="546">
        <v>0</v>
      </c>
      <c r="N18" s="554"/>
      <c r="O18" s="546">
        <v>720</v>
      </c>
      <c r="P18" s="552"/>
      <c r="Q18" s="546">
        <v>0</v>
      </c>
      <c r="R18" s="552"/>
      <c r="S18" s="546">
        <v>0</v>
      </c>
      <c r="T18" s="552"/>
      <c r="U18" s="546">
        <v>0</v>
      </c>
      <c r="V18" s="552"/>
      <c r="W18" s="546">
        <v>0</v>
      </c>
      <c r="X18" s="142"/>
      <c r="Y18" s="546">
        <v>0</v>
      </c>
      <c r="Z18" s="552"/>
      <c r="AA18" s="332">
        <f t="shared" si="2"/>
        <v>34168</v>
      </c>
      <c r="AB18" s="561"/>
      <c r="AC18" s="330">
        <f>AA18/AA58*100</f>
        <v>0.43907951621065439</v>
      </c>
      <c r="AD18" s="331"/>
    </row>
    <row r="19" spans="2:30" s="1" customFormat="1" ht="23.25" x14ac:dyDescent="0.2">
      <c r="B19" s="459"/>
      <c r="C19" s="460" t="s">
        <v>28</v>
      </c>
      <c r="D19" s="463"/>
      <c r="F19" s="549"/>
      <c r="G19" s="547"/>
      <c r="H19" s="550"/>
      <c r="I19" s="547"/>
      <c r="J19" s="553"/>
      <c r="K19" s="547"/>
      <c r="L19" s="553"/>
      <c r="M19" s="547"/>
      <c r="N19" s="553"/>
      <c r="O19" s="547"/>
      <c r="P19" s="553"/>
      <c r="Q19" s="547"/>
      <c r="R19" s="553"/>
      <c r="S19" s="547"/>
      <c r="T19" s="553"/>
      <c r="U19" s="547"/>
      <c r="V19" s="553"/>
      <c r="W19" s="547"/>
      <c r="X19" s="254"/>
      <c r="Y19" s="547"/>
      <c r="Z19" s="553"/>
      <c r="AA19" s="332"/>
      <c r="AB19" s="561"/>
      <c r="AC19" s="334"/>
      <c r="AD19" s="331"/>
    </row>
    <row r="20" spans="2:30" s="1" customFormat="1" ht="23.25" x14ac:dyDescent="0.2">
      <c r="B20" s="459"/>
      <c r="C20" s="389" t="s">
        <v>2</v>
      </c>
      <c r="D20" s="463"/>
      <c r="E20" s="546">
        <v>0</v>
      </c>
      <c r="F20" s="549"/>
      <c r="G20" s="546">
        <v>0</v>
      </c>
      <c r="H20" s="549"/>
      <c r="I20" s="546">
        <v>3</v>
      </c>
      <c r="J20" s="552"/>
      <c r="K20" s="546">
        <v>0</v>
      </c>
      <c r="L20" s="552"/>
      <c r="M20" s="546">
        <v>0</v>
      </c>
      <c r="N20" s="552"/>
      <c r="O20" s="546">
        <v>1</v>
      </c>
      <c r="P20" s="552"/>
      <c r="Q20" s="546">
        <v>0</v>
      </c>
      <c r="R20" s="552"/>
      <c r="S20" s="546">
        <v>0</v>
      </c>
      <c r="T20" s="552"/>
      <c r="U20" s="546">
        <v>1</v>
      </c>
      <c r="V20" s="552"/>
      <c r="W20" s="546">
        <v>0</v>
      </c>
      <c r="X20" s="142"/>
      <c r="Y20" s="546">
        <v>0</v>
      </c>
      <c r="Z20" s="552"/>
      <c r="AA20" s="332">
        <f>SUM(E20:Z20)</f>
        <v>5</v>
      </c>
      <c r="AB20" s="561"/>
      <c r="AC20" s="330">
        <f>AA20/AA56*100</f>
        <v>8.6206896551724146</v>
      </c>
      <c r="AD20" s="331"/>
    </row>
    <row r="21" spans="2:30" s="1" customFormat="1" ht="23.25" x14ac:dyDescent="0.2">
      <c r="B21" s="459"/>
      <c r="C21" s="389" t="s">
        <v>15</v>
      </c>
      <c r="D21" s="463"/>
      <c r="E21" s="546">
        <v>0</v>
      </c>
      <c r="G21" s="546">
        <v>0</v>
      </c>
      <c r="H21" s="549"/>
      <c r="I21" s="546">
        <v>403</v>
      </c>
      <c r="J21" s="552"/>
      <c r="K21" s="546">
        <v>0</v>
      </c>
      <c r="L21" s="552"/>
      <c r="M21" s="546">
        <v>0</v>
      </c>
      <c r="N21" s="552"/>
      <c r="O21" s="546">
        <v>42</v>
      </c>
      <c r="P21" s="552"/>
      <c r="Q21" s="546">
        <v>0</v>
      </c>
      <c r="R21" s="552"/>
      <c r="S21" s="546">
        <v>0</v>
      </c>
      <c r="T21" s="552"/>
      <c r="U21" s="546">
        <v>109</v>
      </c>
      <c r="V21" s="552"/>
      <c r="W21" s="546">
        <v>0</v>
      </c>
      <c r="X21" s="142"/>
      <c r="Y21" s="546">
        <v>0</v>
      </c>
      <c r="Z21" s="552"/>
      <c r="AA21" s="332">
        <f t="shared" ref="AA21:AA22" si="3">SUM(E21:Z21)</f>
        <v>554</v>
      </c>
      <c r="AB21" s="561"/>
      <c r="AC21" s="330">
        <f>AA21/AA57*100</f>
        <v>0.74496409649571038</v>
      </c>
      <c r="AD21" s="331"/>
    </row>
    <row r="22" spans="2:30" s="1" customFormat="1" ht="23.25" x14ac:dyDescent="0.2">
      <c r="B22" s="459"/>
      <c r="C22" s="389" t="s">
        <v>16</v>
      </c>
      <c r="D22" s="463"/>
      <c r="E22" s="546">
        <v>0</v>
      </c>
      <c r="F22" s="549"/>
      <c r="G22" s="546">
        <v>15840</v>
      </c>
      <c r="H22" s="568" t="s">
        <v>62</v>
      </c>
      <c r="I22" s="546">
        <v>5272</v>
      </c>
      <c r="J22" s="554"/>
      <c r="K22" s="546">
        <v>0</v>
      </c>
      <c r="L22" s="552"/>
      <c r="M22" s="546">
        <v>0</v>
      </c>
      <c r="N22" s="554"/>
      <c r="O22" s="546">
        <v>1008</v>
      </c>
      <c r="P22" s="552"/>
      <c r="Q22" s="546">
        <v>0</v>
      </c>
      <c r="R22" s="552"/>
      <c r="S22" s="546">
        <v>0</v>
      </c>
      <c r="T22" s="552"/>
      <c r="U22" s="546">
        <v>7848</v>
      </c>
      <c r="V22" s="552"/>
      <c r="W22" s="546">
        <v>0</v>
      </c>
      <c r="X22" s="142"/>
      <c r="Y22" s="546">
        <v>0</v>
      </c>
      <c r="Z22" s="552"/>
      <c r="AA22" s="332">
        <f t="shared" si="3"/>
        <v>29968</v>
      </c>
      <c r="AB22" s="561"/>
      <c r="AC22" s="330">
        <f>AA22/AA58*100</f>
        <v>0.38510696973193892</v>
      </c>
      <c r="AD22" s="331"/>
    </row>
    <row r="23" spans="2:30" s="1" customFormat="1" ht="23.25" x14ac:dyDescent="0.2">
      <c r="B23" s="459"/>
      <c r="C23" s="460" t="s">
        <v>29</v>
      </c>
      <c r="D23" s="463"/>
      <c r="F23" s="549"/>
      <c r="G23" s="547"/>
      <c r="H23" s="550"/>
      <c r="I23" s="547"/>
      <c r="J23" s="553"/>
      <c r="K23" s="547"/>
      <c r="L23" s="553"/>
      <c r="M23" s="547"/>
      <c r="N23" s="553"/>
      <c r="O23" s="547"/>
      <c r="P23" s="553"/>
      <c r="Q23" s="547"/>
      <c r="R23" s="553"/>
      <c r="S23" s="547"/>
      <c r="T23" s="553"/>
      <c r="U23" s="547"/>
      <c r="V23" s="553"/>
      <c r="W23" s="547"/>
      <c r="X23" s="254"/>
      <c r="Y23" s="547"/>
      <c r="Z23" s="553"/>
      <c r="AA23" s="332"/>
      <c r="AB23" s="561"/>
      <c r="AC23" s="334"/>
      <c r="AD23" s="331"/>
    </row>
    <row r="24" spans="2:30" s="1" customFormat="1" ht="23.25" x14ac:dyDescent="0.2">
      <c r="B24" s="459"/>
      <c r="C24" s="389" t="s">
        <v>2</v>
      </c>
      <c r="D24" s="462"/>
      <c r="E24" s="546">
        <v>0</v>
      </c>
      <c r="F24" s="549"/>
      <c r="G24" s="546">
        <v>1</v>
      </c>
      <c r="H24" s="549"/>
      <c r="I24" s="546">
        <v>1</v>
      </c>
      <c r="J24" s="552"/>
      <c r="K24" s="546">
        <v>1</v>
      </c>
      <c r="L24" s="552"/>
      <c r="M24" s="546">
        <v>0</v>
      </c>
      <c r="N24" s="552"/>
      <c r="O24" s="546">
        <v>0</v>
      </c>
      <c r="P24" s="552"/>
      <c r="Q24" s="546">
        <v>0</v>
      </c>
      <c r="R24" s="552"/>
      <c r="S24" s="546">
        <v>0</v>
      </c>
      <c r="T24" s="552"/>
      <c r="U24" s="546">
        <v>1</v>
      </c>
      <c r="V24" s="552"/>
      <c r="W24" s="546">
        <v>0</v>
      </c>
      <c r="X24" s="142"/>
      <c r="Y24" s="546">
        <v>0</v>
      </c>
      <c r="Z24" s="552"/>
      <c r="AA24" s="332">
        <f>SUM(E24:Z24)</f>
        <v>4</v>
      </c>
      <c r="AB24" s="561"/>
      <c r="AC24" s="330">
        <f>AA24/AA56*100</f>
        <v>6.8965517241379306</v>
      </c>
      <c r="AD24" s="331"/>
    </row>
    <row r="25" spans="2:30" s="1" customFormat="1" ht="23.25" x14ac:dyDescent="0.2">
      <c r="B25" s="459"/>
      <c r="C25" s="389" t="s">
        <v>15</v>
      </c>
      <c r="D25" s="462"/>
      <c r="E25" s="546">
        <v>0</v>
      </c>
      <c r="G25" s="546">
        <v>250</v>
      </c>
      <c r="H25" s="549"/>
      <c r="I25" s="546">
        <v>19</v>
      </c>
      <c r="J25" s="552"/>
      <c r="K25" s="546">
        <v>30</v>
      </c>
      <c r="L25" s="552"/>
      <c r="M25" s="546">
        <v>0</v>
      </c>
      <c r="N25" s="552"/>
      <c r="O25" s="546">
        <v>0</v>
      </c>
      <c r="P25" s="552"/>
      <c r="Q25" s="546">
        <v>0</v>
      </c>
      <c r="R25" s="552"/>
      <c r="S25" s="546">
        <v>0</v>
      </c>
      <c r="T25" s="552"/>
      <c r="U25" s="546">
        <v>100</v>
      </c>
      <c r="V25" s="552"/>
      <c r="W25" s="546">
        <v>0</v>
      </c>
      <c r="X25" s="142"/>
      <c r="Y25" s="546">
        <v>0</v>
      </c>
      <c r="Z25" s="552"/>
      <c r="AA25" s="332">
        <f t="shared" ref="AA25:AA26" si="4">SUM(E25:Z25)</f>
        <v>399</v>
      </c>
      <c r="AB25" s="561"/>
      <c r="AC25" s="330">
        <f>AA25/AA57*100</f>
        <v>0.53653551354113438</v>
      </c>
      <c r="AD25" s="331"/>
    </row>
    <row r="26" spans="2:30" s="1" customFormat="1" ht="23.25" x14ac:dyDescent="0.2">
      <c r="B26" s="459"/>
      <c r="C26" s="389" t="s">
        <v>16</v>
      </c>
      <c r="D26" s="462"/>
      <c r="E26" s="546">
        <v>0</v>
      </c>
      <c r="F26" s="549"/>
      <c r="G26" s="546">
        <v>34448</v>
      </c>
      <c r="H26" s="568"/>
      <c r="I26" s="546">
        <v>3192</v>
      </c>
      <c r="J26" s="554"/>
      <c r="K26" s="546">
        <v>480</v>
      </c>
      <c r="L26" s="552"/>
      <c r="M26" s="546">
        <v>0</v>
      </c>
      <c r="N26" s="554"/>
      <c r="O26" s="546">
        <v>0</v>
      </c>
      <c r="P26" s="552"/>
      <c r="Q26" s="546">
        <v>0</v>
      </c>
      <c r="R26" s="552"/>
      <c r="S26" s="546">
        <v>0</v>
      </c>
      <c r="T26" s="552"/>
      <c r="U26" s="546">
        <v>800</v>
      </c>
      <c r="V26" s="552"/>
      <c r="W26" s="546">
        <v>0</v>
      </c>
      <c r="X26" s="142"/>
      <c r="Y26" s="546">
        <v>0</v>
      </c>
      <c r="Z26" s="552"/>
      <c r="AA26" s="332">
        <f t="shared" si="4"/>
        <v>38920</v>
      </c>
      <c r="AB26" s="561"/>
      <c r="AC26" s="330">
        <f>AA26/AA58*100</f>
        <v>0.50014559736942943</v>
      </c>
      <c r="AD26" s="331"/>
    </row>
    <row r="27" spans="2:30" s="1" customFormat="1" ht="23.25" x14ac:dyDescent="0.2">
      <c r="B27" s="459"/>
      <c r="C27" s="460" t="s">
        <v>30</v>
      </c>
      <c r="D27" s="463"/>
      <c r="F27" s="549"/>
      <c r="G27" s="547"/>
      <c r="H27" s="550"/>
      <c r="I27" s="547"/>
      <c r="J27" s="553"/>
      <c r="K27" s="547"/>
      <c r="L27" s="553"/>
      <c r="M27" s="547"/>
      <c r="N27" s="553"/>
      <c r="O27" s="547"/>
      <c r="P27" s="553"/>
      <c r="Q27" s="547"/>
      <c r="R27" s="553"/>
      <c r="S27" s="547"/>
      <c r="T27" s="553"/>
      <c r="U27" s="547"/>
      <c r="V27" s="553"/>
      <c r="W27" s="547"/>
      <c r="X27" s="254"/>
      <c r="Y27" s="547"/>
      <c r="Z27" s="553"/>
      <c r="AA27" s="332"/>
      <c r="AB27" s="561"/>
      <c r="AC27" s="334"/>
      <c r="AD27" s="331"/>
    </row>
    <row r="28" spans="2:30" s="1" customFormat="1" ht="23.25" x14ac:dyDescent="0.2">
      <c r="B28" s="459"/>
      <c r="C28" s="389" t="s">
        <v>2</v>
      </c>
      <c r="D28" s="464"/>
      <c r="E28" s="546">
        <v>0</v>
      </c>
      <c r="F28" s="549"/>
      <c r="G28" s="546">
        <v>0</v>
      </c>
      <c r="H28" s="549"/>
      <c r="I28" s="546">
        <v>2</v>
      </c>
      <c r="J28" s="552"/>
      <c r="K28" s="546">
        <v>0</v>
      </c>
      <c r="L28" s="552"/>
      <c r="M28" s="546">
        <v>0</v>
      </c>
      <c r="N28" s="552"/>
      <c r="O28" s="546">
        <v>0</v>
      </c>
      <c r="P28" s="552"/>
      <c r="Q28" s="546">
        <v>0</v>
      </c>
      <c r="R28" s="552"/>
      <c r="S28" s="546">
        <v>4</v>
      </c>
      <c r="T28" s="552"/>
      <c r="U28" s="546">
        <v>3</v>
      </c>
      <c r="V28" s="552"/>
      <c r="W28" s="546">
        <v>0</v>
      </c>
      <c r="X28" s="142"/>
      <c r="Y28" s="546">
        <v>0</v>
      </c>
      <c r="Z28" s="552"/>
      <c r="AA28" s="332">
        <f>SUM(E28:Z28)</f>
        <v>9</v>
      </c>
      <c r="AB28" s="561"/>
      <c r="AC28" s="330">
        <f>AA28/AA56*100</f>
        <v>15.517241379310345</v>
      </c>
      <c r="AD28" s="331"/>
    </row>
    <row r="29" spans="2:30" s="1" customFormat="1" ht="23.25" x14ac:dyDescent="0.2">
      <c r="B29" s="459"/>
      <c r="C29" s="389" t="s">
        <v>15</v>
      </c>
      <c r="D29" s="464"/>
      <c r="E29" s="546">
        <v>0</v>
      </c>
      <c r="F29" s="549"/>
      <c r="G29" s="546">
        <v>0</v>
      </c>
      <c r="H29" s="549"/>
      <c r="I29" s="546">
        <v>410</v>
      </c>
      <c r="J29" s="552"/>
      <c r="K29" s="546">
        <v>0</v>
      </c>
      <c r="L29" s="552"/>
      <c r="M29" s="546">
        <v>0</v>
      </c>
      <c r="N29" s="552"/>
      <c r="O29" s="546">
        <v>0</v>
      </c>
      <c r="P29" s="552"/>
      <c r="Q29" s="546">
        <v>0</v>
      </c>
      <c r="R29" s="552"/>
      <c r="S29" s="546">
        <v>614</v>
      </c>
      <c r="T29" s="552"/>
      <c r="U29" s="546">
        <v>158</v>
      </c>
      <c r="V29" s="552"/>
      <c r="W29" s="546">
        <v>0</v>
      </c>
      <c r="X29" s="142"/>
      <c r="Y29" s="546">
        <v>0</v>
      </c>
      <c r="Z29" s="552"/>
      <c r="AA29" s="332">
        <f>SUM(E29:Z29)</f>
        <v>1182</v>
      </c>
      <c r="AB29" s="561"/>
      <c r="AC29" s="330">
        <f>AA29/AA57*100</f>
        <v>1.5894360325955408</v>
      </c>
      <c r="AD29" s="331"/>
    </row>
    <row r="30" spans="2:30" s="1" customFormat="1" ht="23.25" x14ac:dyDescent="0.2">
      <c r="B30" s="459"/>
      <c r="C30" s="389" t="s">
        <v>16</v>
      </c>
      <c r="D30" s="464"/>
      <c r="E30" s="546">
        <v>0</v>
      </c>
      <c r="F30" s="550"/>
      <c r="G30" s="546">
        <v>0</v>
      </c>
      <c r="H30" s="568"/>
      <c r="I30" s="546">
        <v>16592</v>
      </c>
      <c r="J30" s="554"/>
      <c r="K30" s="546">
        <v>0</v>
      </c>
      <c r="L30" s="552"/>
      <c r="M30" s="546">
        <v>0</v>
      </c>
      <c r="N30" s="554"/>
      <c r="O30" s="546">
        <v>0</v>
      </c>
      <c r="P30" s="552"/>
      <c r="Q30" s="546">
        <v>0</v>
      </c>
      <c r="R30" s="552"/>
      <c r="S30" s="546">
        <v>15592</v>
      </c>
      <c r="T30" s="552"/>
      <c r="U30" s="546">
        <v>1552</v>
      </c>
      <c r="V30" s="552"/>
      <c r="W30" s="546">
        <v>0</v>
      </c>
      <c r="X30" s="142"/>
      <c r="Y30" s="546">
        <v>0</v>
      </c>
      <c r="Z30" s="552"/>
      <c r="AA30" s="332">
        <f>SUM(E30:Z30)</f>
        <v>33736</v>
      </c>
      <c r="AB30" s="561"/>
      <c r="AC30" s="330">
        <f>AA30/AA58*100</f>
        <v>0.43352805428712937</v>
      </c>
      <c r="AD30" s="331"/>
    </row>
    <row r="31" spans="2:30" s="1" customFormat="1" ht="23.25" x14ac:dyDescent="0.2">
      <c r="B31" s="459"/>
      <c r="C31" s="460" t="s">
        <v>164</v>
      </c>
      <c r="D31" s="463"/>
      <c r="F31" s="549"/>
      <c r="G31" s="547"/>
      <c r="H31" s="550"/>
      <c r="I31" s="547"/>
      <c r="J31" s="553"/>
      <c r="K31" s="547"/>
      <c r="L31" s="553"/>
      <c r="M31" s="547"/>
      <c r="N31" s="553"/>
      <c r="O31" s="547"/>
      <c r="P31" s="553"/>
      <c r="Q31" s="547"/>
      <c r="R31" s="553"/>
      <c r="S31" s="547"/>
      <c r="T31" s="553"/>
      <c r="U31" s="547"/>
      <c r="V31" s="553"/>
      <c r="W31" s="547"/>
      <c r="X31" s="254"/>
      <c r="Y31" s="547"/>
      <c r="Z31" s="553"/>
      <c r="AA31" s="332"/>
      <c r="AB31" s="561"/>
      <c r="AC31" s="330"/>
      <c r="AD31" s="331"/>
    </row>
    <row r="32" spans="2:30" s="1" customFormat="1" ht="23.25" x14ac:dyDescent="0.2">
      <c r="B32" s="459"/>
      <c r="C32" s="389" t="s">
        <v>2</v>
      </c>
      <c r="D32" s="462"/>
      <c r="E32" s="546">
        <v>0</v>
      </c>
      <c r="F32" s="549"/>
      <c r="G32" s="546">
        <v>0</v>
      </c>
      <c r="H32" s="549"/>
      <c r="I32" s="546">
        <v>0</v>
      </c>
      <c r="J32" s="552"/>
      <c r="K32" s="546">
        <v>0</v>
      </c>
      <c r="L32" s="552"/>
      <c r="M32" s="546">
        <v>0</v>
      </c>
      <c r="N32" s="552"/>
      <c r="O32" s="546">
        <v>1</v>
      </c>
      <c r="P32" s="552"/>
      <c r="Q32" s="546">
        <v>0</v>
      </c>
      <c r="R32" s="552"/>
      <c r="S32" s="546">
        <v>1</v>
      </c>
      <c r="T32" s="552"/>
      <c r="U32" s="546">
        <v>0</v>
      </c>
      <c r="V32" s="552"/>
      <c r="W32" s="546">
        <v>2</v>
      </c>
      <c r="X32" s="142"/>
      <c r="Y32" s="546">
        <v>0</v>
      </c>
      <c r="Z32" s="552"/>
      <c r="AA32" s="332">
        <f>SUM(E32:Z32)</f>
        <v>4</v>
      </c>
      <c r="AB32" s="561"/>
      <c r="AC32" s="330">
        <f>AA32/AA56*100</f>
        <v>6.8965517241379306</v>
      </c>
      <c r="AD32" s="331"/>
    </row>
    <row r="33" spans="1:30" s="1" customFormat="1" ht="23.25" x14ac:dyDescent="0.2">
      <c r="B33" s="459"/>
      <c r="C33" s="389" t="s">
        <v>15</v>
      </c>
      <c r="D33" s="462"/>
      <c r="E33" s="546">
        <v>0</v>
      </c>
      <c r="F33" s="549"/>
      <c r="G33" s="546">
        <v>0</v>
      </c>
      <c r="H33" s="549"/>
      <c r="I33" s="546">
        <v>0</v>
      </c>
      <c r="J33" s="552"/>
      <c r="K33" s="546">
        <v>0</v>
      </c>
      <c r="L33" s="552"/>
      <c r="M33" s="546">
        <v>0</v>
      </c>
      <c r="N33" s="552"/>
      <c r="O33" s="546">
        <v>41</v>
      </c>
      <c r="P33" s="552"/>
      <c r="Q33" s="546">
        <v>0</v>
      </c>
      <c r="R33" s="552"/>
      <c r="S33" s="546">
        <v>336</v>
      </c>
      <c r="T33" s="552"/>
      <c r="U33" s="546">
        <v>0</v>
      </c>
      <c r="V33" s="552"/>
      <c r="W33" s="546">
        <v>3684</v>
      </c>
      <c r="X33" s="142"/>
      <c r="Y33" s="546">
        <v>0</v>
      </c>
      <c r="Z33" s="552"/>
      <c r="AA33" s="332">
        <f t="shared" ref="AA33:AA34" si="5">SUM(E33:Z33)</f>
        <v>4061</v>
      </c>
      <c r="AB33" s="561"/>
      <c r="AC33" s="330">
        <f>AA33/AA57*100</f>
        <v>5.4608288734098922</v>
      </c>
      <c r="AD33" s="331"/>
    </row>
    <row r="34" spans="1:30" s="1" customFormat="1" ht="25.15" customHeight="1" x14ac:dyDescent="0.2">
      <c r="B34" s="459"/>
      <c r="C34" s="389" t="s">
        <v>16</v>
      </c>
      <c r="D34" s="462"/>
      <c r="E34" s="546">
        <v>0</v>
      </c>
      <c r="F34" s="551"/>
      <c r="G34" s="546">
        <v>0</v>
      </c>
      <c r="H34" s="568"/>
      <c r="I34" s="546">
        <v>7360</v>
      </c>
      <c r="J34" s="554"/>
      <c r="K34" s="546">
        <v>0</v>
      </c>
      <c r="L34" s="552"/>
      <c r="M34" s="546">
        <v>0</v>
      </c>
      <c r="N34" s="554"/>
      <c r="O34" s="546">
        <v>656</v>
      </c>
      <c r="P34" s="552"/>
      <c r="Q34" s="546">
        <v>0</v>
      </c>
      <c r="R34" s="552"/>
      <c r="S34" s="546">
        <v>5376</v>
      </c>
      <c r="T34" s="552"/>
      <c r="U34" s="546">
        <v>0</v>
      </c>
      <c r="V34" s="552"/>
      <c r="W34" s="546">
        <v>87516</v>
      </c>
      <c r="X34" s="142"/>
      <c r="Y34" s="546">
        <v>0</v>
      </c>
      <c r="Z34" s="552"/>
      <c r="AA34" s="332">
        <f t="shared" si="5"/>
        <v>100908</v>
      </c>
      <c r="AB34" s="561"/>
      <c r="AC34" s="330">
        <f>AA34/AA58*100</f>
        <v>1.2967289809700511</v>
      </c>
      <c r="AD34" s="331"/>
    </row>
    <row r="35" spans="1:30" s="1" customFormat="1" ht="23.25" x14ac:dyDescent="0.2">
      <c r="B35" s="459"/>
      <c r="C35" s="460" t="s">
        <v>32</v>
      </c>
      <c r="D35" s="462"/>
      <c r="F35" s="549"/>
      <c r="G35" s="548"/>
      <c r="H35" s="551"/>
      <c r="I35" s="548"/>
      <c r="J35" s="555"/>
      <c r="K35" s="548"/>
      <c r="L35" s="555"/>
      <c r="M35" s="548"/>
      <c r="N35" s="555"/>
      <c r="O35" s="548"/>
      <c r="P35" s="555"/>
      <c r="Q35" s="548"/>
      <c r="R35" s="555"/>
      <c r="S35" s="548"/>
      <c r="T35" s="555"/>
      <c r="U35" s="548"/>
      <c r="V35" s="555"/>
      <c r="W35" s="548"/>
      <c r="X35" s="335"/>
      <c r="Y35" s="548"/>
      <c r="Z35" s="555"/>
      <c r="AA35" s="332"/>
      <c r="AB35" s="561"/>
      <c r="AC35" s="330"/>
      <c r="AD35" s="331"/>
    </row>
    <row r="36" spans="1:30" s="1" customFormat="1" ht="23.25" x14ac:dyDescent="0.2">
      <c r="B36" s="459"/>
      <c r="C36" s="389" t="s">
        <v>2</v>
      </c>
      <c r="D36" s="462"/>
      <c r="E36" s="546">
        <v>0</v>
      </c>
      <c r="F36" s="549"/>
      <c r="G36" s="546">
        <v>1</v>
      </c>
      <c r="H36" s="549"/>
      <c r="I36" s="546">
        <v>2</v>
      </c>
      <c r="J36" s="552"/>
      <c r="K36" s="546">
        <v>0</v>
      </c>
      <c r="L36" s="552"/>
      <c r="M36" s="546">
        <v>0</v>
      </c>
      <c r="N36" s="552"/>
      <c r="O36" s="546">
        <v>0</v>
      </c>
      <c r="P36" s="552"/>
      <c r="Q36" s="546">
        <v>0</v>
      </c>
      <c r="R36" s="552"/>
      <c r="S36" s="546">
        <v>2</v>
      </c>
      <c r="T36" s="552"/>
      <c r="U36" s="546">
        <v>0</v>
      </c>
      <c r="V36" s="552"/>
      <c r="W36" s="546">
        <v>0</v>
      </c>
      <c r="X36" s="142"/>
      <c r="Y36" s="546">
        <v>0</v>
      </c>
      <c r="Z36" s="552"/>
      <c r="AA36" s="332">
        <f>SUM(E36:Z36)</f>
        <v>5</v>
      </c>
      <c r="AB36" s="561"/>
      <c r="AC36" s="330">
        <f>AA36/AA56*100</f>
        <v>8.6206896551724146</v>
      </c>
      <c r="AD36" s="331"/>
    </row>
    <row r="37" spans="1:30" s="1" customFormat="1" ht="23.25" x14ac:dyDescent="0.2">
      <c r="B37" s="459"/>
      <c r="C37" s="389" t="s">
        <v>15</v>
      </c>
      <c r="D37" s="462"/>
      <c r="E37" s="546">
        <v>0</v>
      </c>
      <c r="F37" s="549"/>
      <c r="G37" s="546">
        <v>388</v>
      </c>
      <c r="H37" s="549"/>
      <c r="I37" s="546">
        <v>123</v>
      </c>
      <c r="J37" s="552"/>
      <c r="K37" s="546">
        <v>0</v>
      </c>
      <c r="L37" s="552"/>
      <c r="M37" s="546">
        <v>0</v>
      </c>
      <c r="N37" s="552"/>
      <c r="O37" s="546">
        <v>0</v>
      </c>
      <c r="P37" s="552"/>
      <c r="Q37" s="546">
        <v>0</v>
      </c>
      <c r="R37" s="552"/>
      <c r="S37" s="546">
        <v>1747</v>
      </c>
      <c r="T37" s="552"/>
      <c r="U37" s="546">
        <v>0</v>
      </c>
      <c r="V37" s="552"/>
      <c r="W37" s="546">
        <v>0</v>
      </c>
      <c r="X37" s="142"/>
      <c r="Y37" s="546">
        <v>0</v>
      </c>
      <c r="Z37" s="552"/>
      <c r="AA37" s="332">
        <f t="shared" ref="AA37:AA38" si="6">SUM(E37:Z37)</f>
        <v>2258</v>
      </c>
      <c r="AB37" s="561"/>
      <c r="AC37" s="330">
        <f>AA37/AA57*100</f>
        <v>3.0363338084608555</v>
      </c>
      <c r="AD37" s="331"/>
    </row>
    <row r="38" spans="1:30" s="1" customFormat="1" ht="25.15" customHeight="1" x14ac:dyDescent="0.2">
      <c r="B38" s="459"/>
      <c r="C38" s="389" t="s">
        <v>16</v>
      </c>
      <c r="D38" s="462"/>
      <c r="E38" s="546">
        <v>0</v>
      </c>
      <c r="F38" s="551"/>
      <c r="G38" s="546">
        <v>43456</v>
      </c>
      <c r="H38" s="568"/>
      <c r="I38" s="546">
        <v>2952</v>
      </c>
      <c r="J38" s="554"/>
      <c r="K38" s="546">
        <v>0</v>
      </c>
      <c r="L38" s="552"/>
      <c r="M38" s="546">
        <v>0</v>
      </c>
      <c r="N38" s="554"/>
      <c r="O38" s="546">
        <v>0</v>
      </c>
      <c r="P38" s="552"/>
      <c r="Q38" s="546">
        <v>0</v>
      </c>
      <c r="R38" s="552"/>
      <c r="S38" s="546">
        <v>150928</v>
      </c>
      <c r="T38" s="552"/>
      <c r="U38" s="546">
        <v>0</v>
      </c>
      <c r="V38" s="552"/>
      <c r="W38" s="546">
        <v>0</v>
      </c>
      <c r="X38" s="142"/>
      <c r="Y38" s="546">
        <v>0</v>
      </c>
      <c r="Z38" s="552"/>
      <c r="AA38" s="332">
        <f t="shared" si="6"/>
        <v>197336</v>
      </c>
      <c r="AB38" s="561"/>
      <c r="AC38" s="330">
        <f>AA38/AA58*100</f>
        <v>2.5358872456961392</v>
      </c>
      <c r="AD38" s="331"/>
    </row>
    <row r="39" spans="1:30" s="1" customFormat="1" ht="23.25" x14ac:dyDescent="0.2">
      <c r="B39" s="459"/>
      <c r="C39" s="460" t="s">
        <v>33</v>
      </c>
      <c r="D39" s="462"/>
      <c r="F39" s="549"/>
      <c r="G39" s="548"/>
      <c r="H39" s="551"/>
      <c r="I39" s="548"/>
      <c r="J39" s="555"/>
      <c r="K39" s="548"/>
      <c r="L39" s="555"/>
      <c r="M39" s="548"/>
      <c r="N39" s="555"/>
      <c r="O39" s="548"/>
      <c r="P39" s="555"/>
      <c r="Q39" s="548"/>
      <c r="R39" s="555"/>
      <c r="S39" s="548"/>
      <c r="T39" s="555"/>
      <c r="U39" s="548"/>
      <c r="V39" s="555"/>
      <c r="W39" s="548"/>
      <c r="X39" s="335"/>
      <c r="Y39" s="548"/>
      <c r="Z39" s="555"/>
      <c r="AA39" s="332"/>
      <c r="AB39" s="561"/>
      <c r="AC39" s="336"/>
      <c r="AD39" s="331"/>
    </row>
    <row r="40" spans="1:30" s="1" customFormat="1" ht="23.25" x14ac:dyDescent="0.2">
      <c r="B40" s="459"/>
      <c r="C40" s="389" t="s">
        <v>2</v>
      </c>
      <c r="D40" s="462"/>
      <c r="E40" s="546">
        <v>0</v>
      </c>
      <c r="F40" s="549"/>
      <c r="G40" s="546">
        <v>0</v>
      </c>
      <c r="H40" s="549"/>
      <c r="I40" s="546">
        <v>1</v>
      </c>
      <c r="J40" s="552"/>
      <c r="K40" s="546">
        <v>0</v>
      </c>
      <c r="L40" s="552"/>
      <c r="M40" s="546">
        <v>0</v>
      </c>
      <c r="N40" s="552"/>
      <c r="O40" s="546">
        <v>0</v>
      </c>
      <c r="P40" s="552"/>
      <c r="Q40" s="546">
        <v>0</v>
      </c>
      <c r="R40" s="552"/>
      <c r="S40" s="546">
        <v>1</v>
      </c>
      <c r="T40" s="552"/>
      <c r="U40" s="546">
        <v>0</v>
      </c>
      <c r="V40" s="552"/>
      <c r="W40" s="546">
        <v>8</v>
      </c>
      <c r="X40" s="142"/>
      <c r="Y40" s="546">
        <v>1</v>
      </c>
      <c r="Z40" s="552"/>
      <c r="AA40" s="332">
        <f>SUM(E40:Z40)</f>
        <v>11</v>
      </c>
      <c r="AB40" s="561"/>
      <c r="AC40" s="330">
        <f>AA40/AA56*100</f>
        <v>18.96551724137931</v>
      </c>
      <c r="AD40" s="331"/>
    </row>
    <row r="41" spans="1:30" s="1" customFormat="1" ht="23.25" x14ac:dyDescent="0.2">
      <c r="A41" s="1" t="s">
        <v>212</v>
      </c>
      <c r="B41" s="459"/>
      <c r="C41" s="389" t="s">
        <v>15</v>
      </c>
      <c r="D41" s="462"/>
      <c r="E41" s="546">
        <v>0</v>
      </c>
      <c r="F41" s="549"/>
      <c r="G41" s="546">
        <v>0</v>
      </c>
      <c r="H41" s="549"/>
      <c r="I41" s="546">
        <v>165</v>
      </c>
      <c r="J41" s="552"/>
      <c r="K41" s="546">
        <v>0</v>
      </c>
      <c r="L41" s="552"/>
      <c r="M41" s="546">
        <v>0</v>
      </c>
      <c r="N41" s="552"/>
      <c r="O41" s="546">
        <v>0</v>
      </c>
      <c r="P41" s="552"/>
      <c r="Q41" s="546">
        <v>0</v>
      </c>
      <c r="R41" s="552"/>
      <c r="S41" s="546">
        <v>50</v>
      </c>
      <c r="T41" s="552"/>
      <c r="U41" s="546">
        <v>0</v>
      </c>
      <c r="V41" s="552"/>
      <c r="W41" s="546">
        <v>17153</v>
      </c>
      <c r="X41" s="142"/>
      <c r="Y41" s="546">
        <v>900</v>
      </c>
      <c r="Z41" s="552"/>
      <c r="AA41" s="332">
        <f t="shared" ref="AA41:AA42" si="7">SUM(E41:Z41)</f>
        <v>18268</v>
      </c>
      <c r="AB41" s="561"/>
      <c r="AC41" s="330">
        <f>AA41/AA57*100</f>
        <v>24.564989376865771</v>
      </c>
      <c r="AD41" s="331"/>
    </row>
    <row r="42" spans="1:30" s="1" customFormat="1" ht="25.15" customHeight="1" x14ac:dyDescent="0.2">
      <c r="B42" s="459"/>
      <c r="C42" s="389" t="s">
        <v>16</v>
      </c>
      <c r="D42" s="462"/>
      <c r="E42" s="546">
        <v>0</v>
      </c>
      <c r="F42" s="551"/>
      <c r="G42" s="546">
        <v>9312</v>
      </c>
      <c r="H42" s="568" t="s">
        <v>62</v>
      </c>
      <c r="I42" s="546">
        <v>18960</v>
      </c>
      <c r="J42" s="554"/>
      <c r="K42" s="546">
        <v>0</v>
      </c>
      <c r="L42" s="552"/>
      <c r="M42" s="546">
        <v>0</v>
      </c>
      <c r="N42" s="554"/>
      <c r="O42" s="546">
        <v>0</v>
      </c>
      <c r="P42" s="552"/>
      <c r="Q42" s="546">
        <v>0</v>
      </c>
      <c r="R42" s="552"/>
      <c r="S42" s="546">
        <v>110512</v>
      </c>
      <c r="T42" s="552"/>
      <c r="U42" s="546">
        <v>0</v>
      </c>
      <c r="V42" s="552"/>
      <c r="W42" s="546">
        <v>1230210</v>
      </c>
      <c r="X42" s="142"/>
      <c r="Y42" s="546">
        <v>14400</v>
      </c>
      <c r="Z42" s="552"/>
      <c r="AA42" s="332">
        <f t="shared" si="7"/>
        <v>1383394</v>
      </c>
      <c r="AB42" s="561"/>
      <c r="AC42" s="330">
        <f>AA42/AA58*100</f>
        <v>17.777451657946674</v>
      </c>
      <c r="AD42" s="331"/>
    </row>
    <row r="43" spans="1:30" s="1" customFormat="1" ht="23.25" x14ac:dyDescent="0.2">
      <c r="B43" s="459"/>
      <c r="C43" s="460" t="s">
        <v>34</v>
      </c>
      <c r="D43" s="462"/>
      <c r="F43" s="549"/>
      <c r="G43" s="548"/>
      <c r="H43" s="551"/>
      <c r="I43" s="548"/>
      <c r="J43" s="555"/>
      <c r="K43" s="548"/>
      <c r="L43" s="555"/>
      <c r="M43" s="548"/>
      <c r="N43" s="555"/>
      <c r="O43" s="548"/>
      <c r="P43" s="555"/>
      <c r="Q43" s="548"/>
      <c r="R43" s="555"/>
      <c r="S43" s="548"/>
      <c r="T43" s="555"/>
      <c r="U43" s="548"/>
      <c r="V43" s="555"/>
      <c r="W43" s="548"/>
      <c r="X43" s="335"/>
      <c r="Y43" s="548"/>
      <c r="Z43" s="555"/>
      <c r="AA43" s="332"/>
      <c r="AB43" s="561"/>
      <c r="AC43" s="336"/>
      <c r="AD43" s="331"/>
    </row>
    <row r="44" spans="1:30" s="1" customFormat="1" ht="23.25" x14ac:dyDescent="0.2">
      <c r="B44" s="459"/>
      <c r="C44" s="389" t="s">
        <v>2</v>
      </c>
      <c r="D44" s="462"/>
      <c r="E44" s="546">
        <v>0</v>
      </c>
      <c r="F44" s="549"/>
      <c r="G44" s="546">
        <v>0</v>
      </c>
      <c r="H44" s="549"/>
      <c r="I44" s="546">
        <v>1</v>
      </c>
      <c r="J44" s="552"/>
      <c r="K44" s="546">
        <v>0</v>
      </c>
      <c r="L44" s="552"/>
      <c r="M44" s="546">
        <v>0</v>
      </c>
      <c r="N44" s="552"/>
      <c r="O44" s="546">
        <v>0</v>
      </c>
      <c r="P44" s="552"/>
      <c r="Q44" s="546">
        <v>0</v>
      </c>
      <c r="R44" s="552"/>
      <c r="S44" s="546">
        <v>3</v>
      </c>
      <c r="T44" s="552"/>
      <c r="U44" s="546">
        <v>0</v>
      </c>
      <c r="V44" s="552"/>
      <c r="W44" s="546">
        <v>0</v>
      </c>
      <c r="X44" s="142"/>
      <c r="Y44" s="546">
        <v>0</v>
      </c>
      <c r="Z44" s="552"/>
      <c r="AA44" s="332">
        <f>SUM(E44:Z44)</f>
        <v>4</v>
      </c>
      <c r="AB44" s="561"/>
      <c r="AC44" s="330">
        <f>AA44/AA56*100</f>
        <v>6.8965517241379306</v>
      </c>
      <c r="AD44" s="331"/>
    </row>
    <row r="45" spans="1:30" s="1" customFormat="1" ht="23.25" x14ac:dyDescent="0.2">
      <c r="B45" s="459"/>
      <c r="C45" s="389" t="s">
        <v>15</v>
      </c>
      <c r="D45" s="462"/>
      <c r="E45" s="546">
        <v>0</v>
      </c>
      <c r="F45" s="549"/>
      <c r="G45" s="546">
        <v>0</v>
      </c>
      <c r="H45" s="549"/>
      <c r="I45" s="546">
        <v>120</v>
      </c>
      <c r="J45" s="552"/>
      <c r="K45" s="546">
        <v>0</v>
      </c>
      <c r="L45" s="552"/>
      <c r="M45" s="546">
        <v>0</v>
      </c>
      <c r="N45" s="552"/>
      <c r="O45" s="546">
        <v>0</v>
      </c>
      <c r="P45" s="552"/>
      <c r="Q45" s="546">
        <v>0</v>
      </c>
      <c r="R45" s="552"/>
      <c r="S45" s="546">
        <v>8557</v>
      </c>
      <c r="T45" s="552"/>
      <c r="U45" s="546">
        <v>0</v>
      </c>
      <c r="V45" s="552"/>
      <c r="W45" s="546">
        <v>0</v>
      </c>
      <c r="X45" s="142"/>
      <c r="Y45" s="546">
        <v>0</v>
      </c>
      <c r="Z45" s="552"/>
      <c r="AA45" s="332">
        <f t="shared" ref="AA45:AA46" si="8">SUM(E45:Z45)</f>
        <v>8677</v>
      </c>
      <c r="AB45" s="561"/>
      <c r="AC45" s="330">
        <f>AA45/AA57*100</f>
        <v>11.667966543850685</v>
      </c>
      <c r="AD45" s="331"/>
    </row>
    <row r="46" spans="1:30" s="1" customFormat="1" ht="23.25" x14ac:dyDescent="0.2">
      <c r="B46" s="459"/>
      <c r="C46" s="389" t="s">
        <v>16</v>
      </c>
      <c r="D46" s="462"/>
      <c r="E46" s="546">
        <v>0</v>
      </c>
      <c r="F46" s="551"/>
      <c r="G46" s="546">
        <v>0</v>
      </c>
      <c r="H46" s="568"/>
      <c r="I46" s="546">
        <v>1920</v>
      </c>
      <c r="J46" s="554"/>
      <c r="K46" s="546">
        <v>0</v>
      </c>
      <c r="L46" s="552"/>
      <c r="M46" s="546">
        <v>0</v>
      </c>
      <c r="N46" s="554"/>
      <c r="O46" s="546">
        <v>0</v>
      </c>
      <c r="P46" s="552"/>
      <c r="Q46" s="546">
        <v>0</v>
      </c>
      <c r="R46" s="552"/>
      <c r="S46" s="546">
        <v>136456</v>
      </c>
      <c r="T46" s="552"/>
      <c r="U46" s="546">
        <v>0</v>
      </c>
      <c r="V46" s="552"/>
      <c r="W46" s="546">
        <v>0</v>
      </c>
      <c r="X46" s="142"/>
      <c r="Y46" s="546">
        <v>0</v>
      </c>
      <c r="Z46" s="552"/>
      <c r="AA46" s="332">
        <f t="shared" si="8"/>
        <v>138376</v>
      </c>
      <c r="AB46" s="561"/>
      <c r="AC46" s="330">
        <f>AA46/AA58*100</f>
        <v>1.7782154979854106</v>
      </c>
      <c r="AD46" s="331"/>
    </row>
    <row r="47" spans="1:30" s="1" customFormat="1" ht="31.9" customHeight="1" x14ac:dyDescent="0.2">
      <c r="B47" s="459"/>
      <c r="C47" s="460" t="s">
        <v>35</v>
      </c>
      <c r="D47" s="462"/>
      <c r="F47" s="549"/>
      <c r="G47" s="548"/>
      <c r="H47" s="551"/>
      <c r="I47" s="548"/>
      <c r="J47" s="555"/>
      <c r="K47" s="548"/>
      <c r="L47" s="555"/>
      <c r="M47" s="548"/>
      <c r="N47" s="555"/>
      <c r="O47" s="548"/>
      <c r="P47" s="555"/>
      <c r="Q47" s="548"/>
      <c r="R47" s="555"/>
      <c r="S47" s="548"/>
      <c r="T47" s="555"/>
      <c r="U47" s="548"/>
      <c r="V47" s="555"/>
      <c r="W47" s="548"/>
      <c r="X47" s="335"/>
      <c r="Y47" s="548"/>
      <c r="Z47" s="555"/>
      <c r="AA47" s="332"/>
      <c r="AB47" s="561"/>
      <c r="AC47" s="336"/>
      <c r="AD47" s="331"/>
    </row>
    <row r="48" spans="1:30" s="1" customFormat="1" ht="15.6" customHeight="1" x14ac:dyDescent="0.2">
      <c r="B48" s="459"/>
      <c r="C48" s="389" t="s">
        <v>2</v>
      </c>
      <c r="D48" s="462"/>
      <c r="E48" s="546">
        <v>0</v>
      </c>
      <c r="F48" s="549"/>
      <c r="G48" s="546">
        <v>0</v>
      </c>
      <c r="H48" s="549"/>
      <c r="I48" s="546">
        <v>0</v>
      </c>
      <c r="J48" s="552"/>
      <c r="K48" s="546">
        <v>0</v>
      </c>
      <c r="L48" s="552"/>
      <c r="M48" s="546">
        <v>0</v>
      </c>
      <c r="N48" s="552"/>
      <c r="O48" s="546">
        <v>0</v>
      </c>
      <c r="P48" s="552"/>
      <c r="Q48" s="546">
        <v>0</v>
      </c>
      <c r="R48" s="552"/>
      <c r="S48" s="546">
        <v>6</v>
      </c>
      <c r="T48" s="552"/>
      <c r="U48" s="546">
        <v>1</v>
      </c>
      <c r="V48" s="552"/>
      <c r="W48" s="546">
        <v>0</v>
      </c>
      <c r="X48" s="142"/>
      <c r="Y48" s="546">
        <v>0</v>
      </c>
      <c r="Z48" s="552"/>
      <c r="AA48" s="332">
        <f>SUM(E48:Z48)</f>
        <v>7</v>
      </c>
      <c r="AB48" s="561"/>
      <c r="AC48" s="330">
        <f>AA48/AA56*100</f>
        <v>12.068965517241379</v>
      </c>
      <c r="AD48" s="331"/>
    </row>
    <row r="49" spans="2:38" s="1" customFormat="1" ht="23.25" x14ac:dyDescent="0.2">
      <c r="B49" s="459"/>
      <c r="C49" s="389" t="s">
        <v>15</v>
      </c>
      <c r="D49" s="462"/>
      <c r="E49" s="546">
        <v>0</v>
      </c>
      <c r="F49" s="549"/>
      <c r="G49" s="546">
        <v>0</v>
      </c>
      <c r="H49" s="549"/>
      <c r="I49" s="546">
        <v>0</v>
      </c>
      <c r="J49" s="552"/>
      <c r="K49" s="546">
        <v>0</v>
      </c>
      <c r="L49" s="552"/>
      <c r="M49" s="546">
        <v>0</v>
      </c>
      <c r="N49" s="552"/>
      <c r="O49" s="546">
        <v>0</v>
      </c>
      <c r="P49" s="552"/>
      <c r="Q49" s="546">
        <v>0</v>
      </c>
      <c r="R49" s="552"/>
      <c r="S49" s="546">
        <v>36722</v>
      </c>
      <c r="T49" s="552"/>
      <c r="U49" s="546">
        <v>200</v>
      </c>
      <c r="V49" s="552"/>
      <c r="W49" s="546">
        <v>0</v>
      </c>
      <c r="X49" s="142"/>
      <c r="Y49" s="546">
        <v>0</v>
      </c>
      <c r="Z49" s="552"/>
      <c r="AA49" s="332">
        <f t="shared" ref="AA49:AA50" si="9">SUM(E49:Z49)</f>
        <v>36922</v>
      </c>
      <c r="AB49" s="561"/>
      <c r="AC49" s="330">
        <f>AA49/AA57*100</f>
        <v>49.649033160315199</v>
      </c>
      <c r="AD49" s="331"/>
    </row>
    <row r="50" spans="2:38" s="1" customFormat="1" ht="25.15" customHeight="1" x14ac:dyDescent="0.2">
      <c r="B50" s="459"/>
      <c r="C50" s="389" t="s">
        <v>16</v>
      </c>
      <c r="D50" s="462"/>
      <c r="E50" s="546">
        <v>0</v>
      </c>
      <c r="F50" s="551"/>
      <c r="G50" s="546">
        <v>0</v>
      </c>
      <c r="H50" s="568"/>
      <c r="I50" s="546">
        <v>0</v>
      </c>
      <c r="J50" s="554"/>
      <c r="K50" s="546">
        <v>0</v>
      </c>
      <c r="L50" s="552"/>
      <c r="M50" s="546">
        <v>0</v>
      </c>
      <c r="N50" s="554"/>
      <c r="O50" s="546">
        <v>0</v>
      </c>
      <c r="P50" s="552"/>
      <c r="Q50" s="546">
        <v>0</v>
      </c>
      <c r="R50" s="552"/>
      <c r="S50" s="546">
        <v>4698912</v>
      </c>
      <c r="T50" s="552"/>
      <c r="U50" s="546">
        <v>1600</v>
      </c>
      <c r="V50" s="552"/>
      <c r="W50" s="546">
        <v>0</v>
      </c>
      <c r="X50" s="142"/>
      <c r="Y50" s="546">
        <v>0</v>
      </c>
      <c r="Z50" s="552"/>
      <c r="AA50" s="332">
        <f t="shared" si="9"/>
        <v>4700512</v>
      </c>
      <c r="AB50" s="561"/>
      <c r="AC50" s="330">
        <f>AA50/AA58*100</f>
        <v>60.404429141371317</v>
      </c>
      <c r="AD50" s="331"/>
    </row>
    <row r="51" spans="2:38" s="1" customFormat="1" ht="25.15" customHeight="1" x14ac:dyDescent="0.2">
      <c r="B51" s="459"/>
      <c r="C51" s="460" t="s">
        <v>146</v>
      </c>
      <c r="D51" s="462"/>
      <c r="E51" s="546"/>
      <c r="F51" s="549"/>
      <c r="G51" s="548"/>
      <c r="H51" s="551"/>
      <c r="I51" s="548"/>
      <c r="J51" s="555"/>
      <c r="K51" s="548"/>
      <c r="L51" s="555"/>
      <c r="M51" s="548"/>
      <c r="N51" s="555"/>
      <c r="O51" s="548"/>
      <c r="P51" s="555"/>
      <c r="Q51" s="548"/>
      <c r="R51" s="555"/>
      <c r="S51" s="548"/>
      <c r="T51" s="555"/>
      <c r="U51" s="548"/>
      <c r="V51" s="555"/>
      <c r="W51" s="548"/>
      <c r="X51" s="335"/>
      <c r="Y51" s="548"/>
      <c r="Z51" s="555"/>
      <c r="AA51" s="332"/>
      <c r="AB51" s="561"/>
      <c r="AC51" s="336"/>
      <c r="AD51" s="331"/>
    </row>
    <row r="52" spans="2:38" s="1" customFormat="1" ht="23.25" x14ac:dyDescent="0.2">
      <c r="B52" s="459"/>
      <c r="C52" s="389" t="s">
        <v>2</v>
      </c>
      <c r="D52" s="462"/>
      <c r="E52" s="546">
        <v>0</v>
      </c>
      <c r="F52" s="549"/>
      <c r="G52" s="546">
        <v>0</v>
      </c>
      <c r="H52" s="549"/>
      <c r="I52" s="546">
        <v>1</v>
      </c>
      <c r="J52" s="552"/>
      <c r="K52" s="546">
        <v>0</v>
      </c>
      <c r="L52" s="552"/>
      <c r="M52" s="546">
        <v>0</v>
      </c>
      <c r="N52" s="552"/>
      <c r="O52" s="546">
        <v>0</v>
      </c>
      <c r="P52" s="552"/>
      <c r="Q52" s="546">
        <v>0</v>
      </c>
      <c r="R52" s="552"/>
      <c r="S52" s="546">
        <v>0</v>
      </c>
      <c r="T52" s="552"/>
      <c r="U52" s="546">
        <v>0</v>
      </c>
      <c r="V52" s="552"/>
      <c r="W52" s="546">
        <v>0</v>
      </c>
      <c r="X52" s="142"/>
      <c r="Y52" s="546">
        <v>0</v>
      </c>
      <c r="Z52" s="552"/>
      <c r="AA52" s="332">
        <f>SUM(E52:Z52)</f>
        <v>1</v>
      </c>
      <c r="AB52" s="561"/>
      <c r="AC52" s="330">
        <f>AA52/AA56*100</f>
        <v>1.7241379310344827</v>
      </c>
      <c r="AD52" s="331"/>
    </row>
    <row r="53" spans="2:38" s="1" customFormat="1" ht="23.25" x14ac:dyDescent="0.2">
      <c r="B53" s="459"/>
      <c r="C53" s="389" t="s">
        <v>15</v>
      </c>
      <c r="D53" s="462"/>
      <c r="E53" s="546">
        <v>0</v>
      </c>
      <c r="F53" s="549"/>
      <c r="G53" s="546">
        <v>0</v>
      </c>
      <c r="H53" s="549"/>
      <c r="I53" s="546">
        <v>890</v>
      </c>
      <c r="J53" s="552"/>
      <c r="K53" s="546">
        <v>0</v>
      </c>
      <c r="L53" s="552"/>
      <c r="M53" s="546">
        <v>0</v>
      </c>
      <c r="N53" s="552"/>
      <c r="O53" s="546">
        <v>0</v>
      </c>
      <c r="P53" s="552"/>
      <c r="Q53" s="546">
        <v>0</v>
      </c>
      <c r="R53" s="552"/>
      <c r="S53" s="546">
        <v>0</v>
      </c>
      <c r="T53" s="552"/>
      <c r="U53" s="546">
        <v>0</v>
      </c>
      <c r="V53" s="552"/>
      <c r="W53" s="546">
        <v>0</v>
      </c>
      <c r="X53" s="142"/>
      <c r="Y53" s="546">
        <v>0</v>
      </c>
      <c r="Z53" s="552"/>
      <c r="AA53" s="332">
        <f t="shared" ref="AA53:AA54" si="10">SUM(E53:Z53)</f>
        <v>890</v>
      </c>
      <c r="AB53" s="561"/>
      <c r="AC53" s="330">
        <f>AA53/AA57*100</f>
        <v>1.1967834763198235</v>
      </c>
      <c r="AD53" s="331"/>
    </row>
    <row r="54" spans="2:38" s="1" customFormat="1" ht="23.25" x14ac:dyDescent="0.2">
      <c r="B54" s="459"/>
      <c r="C54" s="389" t="s">
        <v>16</v>
      </c>
      <c r="D54" s="462"/>
      <c r="E54" s="546">
        <v>0</v>
      </c>
      <c r="F54" s="552"/>
      <c r="G54" s="546">
        <v>0</v>
      </c>
      <c r="H54" s="568"/>
      <c r="I54" s="546">
        <v>56960</v>
      </c>
      <c r="J54" s="554"/>
      <c r="K54" s="546">
        <v>0</v>
      </c>
      <c r="L54" s="552"/>
      <c r="M54" s="546">
        <v>0</v>
      </c>
      <c r="N54" s="554"/>
      <c r="O54" s="546">
        <v>0</v>
      </c>
      <c r="P54" s="552"/>
      <c r="Q54" s="546">
        <v>0</v>
      </c>
      <c r="R54" s="552"/>
      <c r="S54" s="546">
        <v>972960</v>
      </c>
      <c r="T54" s="552" t="s">
        <v>62</v>
      </c>
      <c r="U54" s="546">
        <v>0</v>
      </c>
      <c r="V54" s="552"/>
      <c r="W54" s="546">
        <v>0</v>
      </c>
      <c r="X54" s="142"/>
      <c r="Y54" s="546">
        <v>0</v>
      </c>
      <c r="Z54" s="552"/>
      <c r="AA54" s="332">
        <f t="shared" si="10"/>
        <v>1029920</v>
      </c>
      <c r="AB54" s="561"/>
      <c r="AC54" s="330">
        <f>AA54/AA58*100</f>
        <v>13.235096445085375</v>
      </c>
      <c r="AD54" s="331"/>
    </row>
    <row r="55" spans="2:38" s="1" customFormat="1" ht="25.15" customHeight="1" x14ac:dyDescent="0.2">
      <c r="B55" s="465"/>
      <c r="C55" s="466" t="s">
        <v>6</v>
      </c>
      <c r="D55" s="467"/>
      <c r="E55" s="468"/>
      <c r="F55" s="468"/>
      <c r="G55" s="468"/>
      <c r="H55" s="556"/>
      <c r="I55" s="468"/>
      <c r="J55" s="556"/>
      <c r="K55" s="468"/>
      <c r="L55" s="556"/>
      <c r="M55" s="468"/>
      <c r="N55" s="556"/>
      <c r="O55" s="468"/>
      <c r="P55" s="556"/>
      <c r="Q55" s="468"/>
      <c r="R55" s="556"/>
      <c r="S55" s="468"/>
      <c r="T55" s="556"/>
      <c r="U55" s="468"/>
      <c r="V55" s="556"/>
      <c r="W55" s="468"/>
      <c r="X55" s="468"/>
      <c r="Y55" s="468"/>
      <c r="Z55" s="556"/>
      <c r="AA55" s="469"/>
      <c r="AB55" s="563"/>
      <c r="AC55" s="470"/>
      <c r="AD55" s="398"/>
    </row>
    <row r="56" spans="2:38" s="1" customFormat="1" ht="25.15" customHeight="1" x14ac:dyDescent="0.2">
      <c r="B56" s="465"/>
      <c r="C56" s="471" t="s">
        <v>2</v>
      </c>
      <c r="D56" s="472"/>
      <c r="E56" s="473">
        <f>SUM(E8+E12+E16+E20+E24+E28+E32+E36+E40+E44+E48+E52)</f>
        <v>0</v>
      </c>
      <c r="F56" s="473"/>
      <c r="G56" s="473">
        <f>SUM(G8+G12+G16+G20+G24+G28+G32+G36+G40+G44+G48+G52)</f>
        <v>3</v>
      </c>
      <c r="H56" s="557"/>
      <c r="I56" s="473">
        <f>SUM(I8+I12+I16+I20+I24+I28+I32+I36+I40+I44+I48+I52)</f>
        <v>12</v>
      </c>
      <c r="J56" s="557"/>
      <c r="K56" s="473">
        <f>SUM(K8+K12+K16+K20+K24+K28+K32+K36+K40+K44+K48+K52)</f>
        <v>2</v>
      </c>
      <c r="L56" s="557"/>
      <c r="M56" s="473">
        <f>SUM(M8+M12+M16+M20+M24+M28+M32+M36+M40+M44+M48+M52)</f>
        <v>1</v>
      </c>
      <c r="N56" s="557"/>
      <c r="O56" s="473">
        <f>SUM(O8+O12+O16+O20+O24+O28+O32+O36+O40+O44+O48+O52)</f>
        <v>3</v>
      </c>
      <c r="P56" s="557"/>
      <c r="Q56" s="473">
        <f>SUM(Q8+Q12+Q16+Q20+Q24+Q28+Q32+Q36+Q40+Q44+Q48+Q52)</f>
        <v>0</v>
      </c>
      <c r="R56" s="557"/>
      <c r="S56" s="473">
        <f>SUM(S8+S12+S16+S20+S24+S28+S32+S36+S40+S44+S48+S52)</f>
        <v>20</v>
      </c>
      <c r="T56" s="557"/>
      <c r="U56" s="473">
        <f>SUM(U8+U12+U16+U20+U24+U28+U32+U36+U40+U44+U48+U52)</f>
        <v>6</v>
      </c>
      <c r="V56" s="557"/>
      <c r="W56" s="473">
        <f>SUM(W8+W12+W16+W20+W24+W28+W32+W36+W40+W44+W48+W52)</f>
        <v>10</v>
      </c>
      <c r="X56" s="473"/>
      <c r="Y56" s="473">
        <f>SUM(Y8+Y12+Y16+Y20+Y24+Y28+Y32+Y36+Y40+Y44+Y48+Y52)</f>
        <v>1</v>
      </c>
      <c r="Z56" s="557"/>
      <c r="AA56" s="473">
        <f>SUM(AA8+AA12+AA16+AA20+AA24+AA28+AA32+AA36+AA40+AA44+AA48+AA52)</f>
        <v>58</v>
      </c>
      <c r="AB56" s="564"/>
      <c r="AC56" s="474">
        <f>SUM(AC8+AC12+AC16+AC20+AC24+AC28+AC32+AC36+AC40+AC44+AC48+AC52)</f>
        <v>100</v>
      </c>
      <c r="AD56" s="398"/>
    </row>
    <row r="57" spans="2:38" s="1" customFormat="1" ht="25.15" customHeight="1" x14ac:dyDescent="0.2">
      <c r="B57" s="465"/>
      <c r="C57" s="471" t="s">
        <v>15</v>
      </c>
      <c r="D57" s="472"/>
      <c r="E57" s="473">
        <f t="shared" ref="E57" si="11">SUM(E9+E13+E17+E21+E25+E29+E33+E37+E41+E45+E49+E53)</f>
        <v>0</v>
      </c>
      <c r="F57" s="473"/>
      <c r="G57" s="473">
        <f t="shared" ref="G57:I58" si="12">SUM(G9+G13+G17+G21+G25+G29+G33+G37+G41+G45+G49+G53)</f>
        <v>1038</v>
      </c>
      <c r="H57" s="557"/>
      <c r="I57" s="473">
        <f t="shared" si="12"/>
        <v>2160</v>
      </c>
      <c r="J57" s="557"/>
      <c r="K57" s="473">
        <f t="shared" ref="K57:K58" si="13">SUM(K9+K13+K17+K21+K25+K29+K33+K37+K41+K45+K49+K53)</f>
        <v>565</v>
      </c>
      <c r="L57" s="557"/>
      <c r="M57" s="473">
        <f t="shared" ref="M57:M58" si="14">SUM(M9+M13+M17+M21+M25+M29+M33+M37+M41+M45+M49+M53)</f>
        <v>40</v>
      </c>
      <c r="N57" s="557"/>
      <c r="O57" s="473">
        <f t="shared" ref="O57:O58" si="15">SUM(O9+O13+O17+O21+O25+O29+O33+O37+O41+O45+O49+O53)</f>
        <v>113</v>
      </c>
      <c r="P57" s="557"/>
      <c r="Q57" s="473">
        <f t="shared" ref="Q57:Q58" si="16">SUM(Q9+Q13+Q17+Q21+Q25+Q29+Q33+Q37+Q41+Q45+Q49+Q53)</f>
        <v>0</v>
      </c>
      <c r="R57" s="557"/>
      <c r="S57" s="473">
        <f t="shared" ref="S57:S58" si="17">SUM(S9+S13+S17+S21+S25+S29+S33+S37+S41+S45+S49+S53)</f>
        <v>48146</v>
      </c>
      <c r="T57" s="557"/>
      <c r="U57" s="473">
        <f t="shared" ref="U57:U58" si="18">SUM(U9+U13+U17+U21+U25+U29+U33+U37+U41+U45+U49+U53)</f>
        <v>567</v>
      </c>
      <c r="V57" s="557"/>
      <c r="W57" s="473">
        <f t="shared" ref="W57:Y58" si="19">SUM(W9+W13+W17+W21+W25+W29+W33+W37+W41+W45+W49+W53)</f>
        <v>20837</v>
      </c>
      <c r="X57" s="473"/>
      <c r="Y57" s="473">
        <f t="shared" si="19"/>
        <v>900</v>
      </c>
      <c r="Z57" s="557"/>
      <c r="AA57" s="473">
        <f t="shared" ref="AA57" si="20">SUM(AA9+AA13+AA17+AA21+AA25+AA29+AA33+AA37+AA41+AA45+AA49+AA53)</f>
        <v>74366</v>
      </c>
      <c r="AB57" s="564"/>
      <c r="AC57" s="474">
        <f>SUM(AC9+AC13+AC17+AC21+AC25+AC29+AC33+AC37+AC41+AC45+AC49+AC53)</f>
        <v>100</v>
      </c>
      <c r="AD57" s="398"/>
    </row>
    <row r="58" spans="2:38" s="1" customFormat="1" ht="24.6" customHeight="1" x14ac:dyDescent="0.2">
      <c r="B58" s="465"/>
      <c r="C58" s="471" t="s">
        <v>16</v>
      </c>
      <c r="D58" s="475"/>
      <c r="E58" s="473">
        <f t="shared" ref="E58" si="21">SUM(E10+E14+E18+E22+E26+E30+E34+E38+E42+E46+E50+E54)</f>
        <v>0</v>
      </c>
      <c r="F58" s="473"/>
      <c r="G58" s="473">
        <f t="shared" si="12"/>
        <v>191768</v>
      </c>
      <c r="H58" s="557"/>
      <c r="I58" s="473">
        <f t="shared" si="12"/>
        <v>136448</v>
      </c>
      <c r="J58" s="557"/>
      <c r="K58" s="473">
        <f t="shared" si="13"/>
        <v>4760</v>
      </c>
      <c r="L58" s="557"/>
      <c r="M58" s="473">
        <f t="shared" si="14"/>
        <v>2880</v>
      </c>
      <c r="N58" s="557"/>
      <c r="O58" s="473">
        <f t="shared" si="15"/>
        <v>2384</v>
      </c>
      <c r="P58" s="557"/>
      <c r="Q58" s="473">
        <f t="shared" si="16"/>
        <v>0</v>
      </c>
      <c r="R58" s="557"/>
      <c r="S58" s="473">
        <f t="shared" si="17"/>
        <v>6099568</v>
      </c>
      <c r="T58" s="557"/>
      <c r="U58" s="473">
        <f t="shared" si="18"/>
        <v>11800</v>
      </c>
      <c r="V58" s="557"/>
      <c r="W58" s="473">
        <f t="shared" si="19"/>
        <v>1317726</v>
      </c>
      <c r="X58" s="473"/>
      <c r="Y58" s="473">
        <f t="shared" si="19"/>
        <v>14400</v>
      </c>
      <c r="Z58" s="557"/>
      <c r="AA58" s="473">
        <f t="shared" ref="AA58" si="22">SUM(AA10+AA14+AA18+AA22+AA26+AA30+AA34+AA38+AA42+AA46+AA50+AA54)</f>
        <v>7781734</v>
      </c>
      <c r="AB58" s="564"/>
      <c r="AC58" s="474">
        <f>SUM(AC10+AC14+AC18+AC22+AC26+AC30+AC34+AC38+AC42+AC46+AC50+AC54)</f>
        <v>100</v>
      </c>
      <c r="AD58" s="398"/>
    </row>
    <row r="59" spans="2:38" s="1" customFormat="1" ht="29.25" customHeight="1" x14ac:dyDescent="0.2">
      <c r="B59" s="52" t="s">
        <v>217</v>
      </c>
      <c r="H59" s="183"/>
      <c r="J59" s="183"/>
      <c r="L59" s="183"/>
      <c r="N59" s="183"/>
      <c r="P59" s="183"/>
      <c r="R59" s="183"/>
      <c r="T59" s="183"/>
      <c r="V59" s="183"/>
      <c r="Z59" s="183"/>
      <c r="AB59" s="565"/>
      <c r="AG59" s="8"/>
      <c r="AH59" s="4"/>
      <c r="AI59" s="8"/>
      <c r="AJ59" s="9"/>
      <c r="AK59" s="8"/>
      <c r="AL59" s="9"/>
    </row>
    <row r="60" spans="2:38" s="1" customFormat="1" ht="29.25" customHeight="1" x14ac:dyDescent="0.35">
      <c r="B60" s="59" t="s">
        <v>260</v>
      </c>
      <c r="C60" s="129"/>
      <c r="D60" s="129"/>
      <c r="E60" s="129"/>
      <c r="F60" s="129"/>
      <c r="G60" s="129"/>
      <c r="H60" s="558"/>
      <c r="I60" s="130"/>
      <c r="J60" s="558"/>
      <c r="K60" s="130"/>
      <c r="L60" s="183"/>
      <c r="N60" s="183"/>
      <c r="P60" s="183"/>
      <c r="R60" s="183"/>
      <c r="T60" s="183"/>
      <c r="V60" s="183"/>
      <c r="Z60" s="183"/>
      <c r="AB60" s="565"/>
      <c r="AH60" s="13"/>
      <c r="AI60" s="14"/>
      <c r="AJ60" s="13"/>
      <c r="AK60" s="14"/>
      <c r="AL60" s="15"/>
    </row>
    <row r="61" spans="2:38" s="1" customFormat="1" ht="29.25" customHeight="1" x14ac:dyDescent="0.2">
      <c r="B61" s="23" t="s">
        <v>247</v>
      </c>
      <c r="D61" s="17"/>
      <c r="E61" s="17"/>
      <c r="F61" s="17"/>
      <c r="G61" s="17"/>
      <c r="H61" s="559"/>
      <c r="I61" s="21"/>
      <c r="J61" s="143"/>
      <c r="L61" s="183"/>
      <c r="N61" s="183"/>
      <c r="P61" s="183"/>
      <c r="R61" s="183"/>
      <c r="T61" s="183"/>
      <c r="V61" s="183"/>
      <c r="Z61" s="183"/>
      <c r="AB61" s="565"/>
    </row>
    <row r="62" spans="2:38" s="20" customFormat="1" ht="25.15" customHeight="1" x14ac:dyDescent="0.2">
      <c r="B62" s="185" t="s">
        <v>254</v>
      </c>
      <c r="H62" s="559"/>
      <c r="J62" s="559"/>
      <c r="L62" s="559"/>
      <c r="N62" s="559"/>
      <c r="P62" s="559"/>
      <c r="R62" s="559"/>
      <c r="T62" s="559"/>
      <c r="V62" s="559"/>
      <c r="Z62" s="559"/>
      <c r="AB62" s="566"/>
    </row>
    <row r="64" spans="2:38" ht="7.9" customHeight="1" x14ac:dyDescent="0.35"/>
  </sheetData>
  <mergeCells count="20">
    <mergeCell ref="K6:L6"/>
    <mergeCell ref="W6:X6"/>
    <mergeCell ref="Y6:Z6"/>
    <mergeCell ref="E6:F6"/>
    <mergeCell ref="Q6:R6"/>
    <mergeCell ref="S6:T6"/>
    <mergeCell ref="U6:V6"/>
    <mergeCell ref="G6:H6"/>
    <mergeCell ref="B1:AD1"/>
    <mergeCell ref="B3:AD3"/>
    <mergeCell ref="B4:AD4"/>
    <mergeCell ref="AC6:AD6"/>
    <mergeCell ref="E5:Z5"/>
    <mergeCell ref="AA5:AD5"/>
    <mergeCell ref="AA6:AB6"/>
    <mergeCell ref="I6:J6"/>
    <mergeCell ref="M6:N6"/>
    <mergeCell ref="O6:P6"/>
    <mergeCell ref="B2:AB2"/>
    <mergeCell ref="B5:D6"/>
  </mergeCells>
  <phoneticPr fontId="2" type="noConversion"/>
  <printOptions horizontalCentered="1" verticalCentered="1"/>
  <pageMargins left="0" right="0" top="0" bottom="0" header="0" footer="0"/>
  <pageSetup paperSize="9" scale="28"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B1:AV282"/>
  <sheetViews>
    <sheetView showGridLines="0" topLeftCell="A70" zoomScale="40" zoomScaleNormal="40" zoomScaleSheetLayoutView="30" workbookViewId="0">
      <selection activeCell="Z90" sqref="Z90"/>
    </sheetView>
  </sheetViews>
  <sheetFormatPr baseColWidth="10" defaultColWidth="11.42578125" defaultRowHeight="25.5" x14ac:dyDescent="0.2"/>
  <cols>
    <col min="1" max="1" width="6.28515625" style="1" customWidth="1"/>
    <col min="2" max="2" width="2.7109375" style="1" customWidth="1"/>
    <col min="3" max="3" width="58.5703125" style="211" customWidth="1"/>
    <col min="4" max="4" width="6.7109375" style="1" customWidth="1"/>
    <col min="5" max="5" width="32.140625" style="213" customWidth="1"/>
    <col min="6" max="6" width="5.5703125" style="213" customWidth="1"/>
    <col min="7" max="7" width="25.28515625" style="213" customWidth="1"/>
    <col min="8" max="8" width="5.5703125" style="213" customWidth="1"/>
    <col min="9" max="9" width="30.5703125" style="213" customWidth="1"/>
    <col min="10" max="10" width="2.5703125" style="213" customWidth="1"/>
    <col min="11" max="11" width="26.85546875" style="213" customWidth="1"/>
    <col min="12" max="12" width="2.7109375" style="213" customWidth="1"/>
    <col min="13" max="13" width="27" style="213" customWidth="1"/>
    <col min="14" max="14" width="2.7109375" style="213" customWidth="1"/>
    <col min="15" max="15" width="25.5703125" style="213" customWidth="1"/>
    <col min="16" max="16" width="2.7109375" style="213" customWidth="1"/>
    <col min="17" max="17" width="24.7109375" style="213" customWidth="1"/>
    <col min="18" max="18" width="4.7109375" style="213" customWidth="1"/>
    <col min="19" max="19" width="29.5703125" style="213" customWidth="1"/>
    <col min="20" max="20" width="4.7109375" style="213" customWidth="1"/>
    <col min="21" max="21" width="18.7109375" style="213" customWidth="1"/>
    <col min="22" max="22" width="4.7109375" style="213" customWidth="1"/>
    <col min="23" max="23" width="18.85546875" style="213" customWidth="1"/>
    <col min="24" max="24" width="4.7109375" style="213" customWidth="1"/>
    <col min="25" max="25" width="28.5703125" style="213" customWidth="1"/>
    <col min="26" max="26" width="4.28515625" style="213" customWidth="1"/>
    <col min="27" max="27" width="26" style="1" customWidth="1"/>
    <col min="28" max="28" width="2.5703125" style="1" customWidth="1"/>
    <col min="29" max="29" width="20.5703125" style="1" customWidth="1"/>
    <col min="30" max="30" width="2.5703125" style="1" customWidth="1"/>
    <col min="31" max="31" width="15.5703125" style="1" customWidth="1"/>
    <col min="32" max="32" width="23.85546875" style="184" customWidth="1"/>
    <col min="33" max="33" width="18" style="1" customWidth="1"/>
    <col min="34" max="16384" width="11.42578125" style="1"/>
  </cols>
  <sheetData>
    <row r="1" spans="2:32" s="3" customFormat="1" ht="45" customHeight="1" x14ac:dyDescent="0.2">
      <c r="B1" s="843" t="s">
        <v>49</v>
      </c>
      <c r="C1" s="843"/>
      <c r="D1" s="843"/>
      <c r="E1" s="843"/>
      <c r="F1" s="843"/>
      <c r="G1" s="843"/>
      <c r="H1" s="843"/>
      <c r="I1" s="843"/>
      <c r="J1" s="843"/>
      <c r="K1" s="843"/>
      <c r="L1" s="843"/>
      <c r="M1" s="843"/>
      <c r="N1" s="843"/>
      <c r="O1" s="843"/>
      <c r="P1" s="843"/>
      <c r="Q1" s="843"/>
      <c r="R1" s="843"/>
      <c r="S1" s="843"/>
      <c r="T1" s="843"/>
      <c r="U1" s="843"/>
      <c r="V1" s="843"/>
      <c r="W1" s="843"/>
      <c r="X1" s="843"/>
      <c r="Y1" s="843"/>
      <c r="Z1" s="843"/>
      <c r="AA1" s="843"/>
      <c r="AB1" s="843"/>
      <c r="AC1" s="843"/>
      <c r="AD1" s="843"/>
      <c r="AF1" s="184"/>
    </row>
    <row r="2" spans="2:32" s="207" customFormat="1" ht="65.099999999999994" customHeight="1" x14ac:dyDescent="0.2">
      <c r="B2" s="613" t="s">
        <v>145</v>
      </c>
      <c r="C2" s="614"/>
      <c r="D2" s="613"/>
      <c r="E2" s="615"/>
      <c r="F2" s="615"/>
      <c r="G2" s="615"/>
      <c r="H2" s="615"/>
      <c r="I2" s="615"/>
      <c r="J2" s="615"/>
      <c r="K2" s="616"/>
      <c r="L2" s="616"/>
      <c r="M2" s="616"/>
      <c r="N2" s="616"/>
      <c r="O2" s="616"/>
      <c r="P2" s="616"/>
      <c r="Q2" s="616"/>
      <c r="R2" s="616"/>
      <c r="S2" s="616"/>
      <c r="T2" s="616"/>
      <c r="U2" s="616"/>
      <c r="V2" s="616"/>
      <c r="W2" s="616"/>
      <c r="X2" s="616"/>
      <c r="Y2" s="616"/>
      <c r="Z2" s="616"/>
      <c r="AA2" s="617"/>
      <c r="AB2" s="617"/>
      <c r="AC2" s="617"/>
      <c r="AD2" s="617"/>
      <c r="AF2" s="184"/>
    </row>
    <row r="3" spans="2:32" s="207" customFormat="1" ht="81.599999999999994" customHeight="1" x14ac:dyDescent="0.2">
      <c r="B3" s="842" t="s">
        <v>285</v>
      </c>
      <c r="C3" s="842"/>
      <c r="D3" s="842"/>
      <c r="E3" s="842"/>
      <c r="F3" s="842"/>
      <c r="G3" s="842"/>
      <c r="H3" s="842"/>
      <c r="I3" s="842"/>
      <c r="J3" s="842"/>
      <c r="K3" s="842"/>
      <c r="L3" s="842"/>
      <c r="M3" s="842"/>
      <c r="N3" s="842"/>
      <c r="O3" s="842"/>
      <c r="P3" s="842"/>
      <c r="Q3" s="842"/>
      <c r="R3" s="842"/>
      <c r="S3" s="842"/>
      <c r="T3" s="842"/>
      <c r="U3" s="842"/>
      <c r="V3" s="842"/>
      <c r="W3" s="842"/>
      <c r="X3" s="842"/>
      <c r="Y3" s="842"/>
      <c r="Z3" s="842"/>
      <c r="AA3" s="842"/>
      <c r="AB3" s="842"/>
      <c r="AC3" s="842"/>
      <c r="AD3" s="842"/>
      <c r="AF3" s="184"/>
    </row>
    <row r="4" spans="2:32" s="207" customFormat="1" ht="65.099999999999994" customHeight="1" x14ac:dyDescent="0.2">
      <c r="B4" s="842">
        <v>2025</v>
      </c>
      <c r="C4" s="842"/>
      <c r="D4" s="842"/>
      <c r="E4" s="842"/>
      <c r="F4" s="842"/>
      <c r="G4" s="842"/>
      <c r="H4" s="842"/>
      <c r="I4" s="842"/>
      <c r="J4" s="842"/>
      <c r="K4" s="842"/>
      <c r="L4" s="842"/>
      <c r="M4" s="842"/>
      <c r="N4" s="842"/>
      <c r="O4" s="842"/>
      <c r="P4" s="842"/>
      <c r="Q4" s="842"/>
      <c r="R4" s="842"/>
      <c r="S4" s="842"/>
      <c r="T4" s="842"/>
      <c r="U4" s="842"/>
      <c r="V4" s="842"/>
      <c r="W4" s="842"/>
      <c r="X4" s="842"/>
      <c r="Y4" s="842"/>
      <c r="Z4" s="842"/>
      <c r="AA4" s="842"/>
      <c r="AB4" s="842"/>
      <c r="AC4" s="842"/>
      <c r="AD4" s="842"/>
      <c r="AF4" s="184"/>
    </row>
    <row r="5" spans="2:32" s="3" customFormat="1" ht="64.900000000000006" customHeight="1" x14ac:dyDescent="0.2">
      <c r="B5" s="835" t="s">
        <v>239</v>
      </c>
      <c r="C5" s="835"/>
      <c r="D5" s="835"/>
      <c r="E5" s="836" t="s">
        <v>192</v>
      </c>
      <c r="F5" s="837"/>
      <c r="G5" s="837"/>
      <c r="H5" s="837"/>
      <c r="I5" s="837"/>
      <c r="J5" s="837"/>
      <c r="K5" s="837"/>
      <c r="L5" s="837"/>
      <c r="M5" s="837"/>
      <c r="N5" s="837"/>
      <c r="O5" s="837"/>
      <c r="P5" s="837"/>
      <c r="Q5" s="837"/>
      <c r="R5" s="837"/>
      <c r="S5" s="837"/>
      <c r="T5" s="837"/>
      <c r="U5" s="837"/>
      <c r="V5" s="837"/>
      <c r="W5" s="837"/>
      <c r="X5" s="837"/>
      <c r="Y5" s="837"/>
      <c r="Z5" s="838"/>
      <c r="AA5" s="839" t="s">
        <v>86</v>
      </c>
      <c r="AB5" s="840"/>
      <c r="AC5" s="840"/>
      <c r="AD5" s="840"/>
      <c r="AF5" s="184"/>
    </row>
    <row r="6" spans="2:32" s="82" customFormat="1" ht="158.25" customHeight="1" x14ac:dyDescent="0.2">
      <c r="B6" s="835"/>
      <c r="C6" s="835"/>
      <c r="D6" s="835"/>
      <c r="E6" s="841" t="s">
        <v>228</v>
      </c>
      <c r="F6" s="832"/>
      <c r="G6" s="832" t="s">
        <v>188</v>
      </c>
      <c r="H6" s="834"/>
      <c r="I6" s="834" t="s">
        <v>240</v>
      </c>
      <c r="J6" s="834"/>
      <c r="K6" s="834" t="s">
        <v>89</v>
      </c>
      <c r="L6" s="834"/>
      <c r="M6" s="834" t="s">
        <v>109</v>
      </c>
      <c r="N6" s="834"/>
      <c r="O6" s="834" t="s">
        <v>264</v>
      </c>
      <c r="P6" s="834"/>
      <c r="Q6" s="834" t="s">
        <v>273</v>
      </c>
      <c r="R6" s="834"/>
      <c r="S6" s="834" t="s">
        <v>189</v>
      </c>
      <c r="T6" s="834"/>
      <c r="U6" s="834" t="s">
        <v>19</v>
      </c>
      <c r="V6" s="834"/>
      <c r="W6" s="831" t="s">
        <v>46</v>
      </c>
      <c r="X6" s="832"/>
      <c r="Y6" s="831" t="s">
        <v>274</v>
      </c>
      <c r="Z6" s="832"/>
      <c r="AA6" s="833" t="s">
        <v>63</v>
      </c>
      <c r="AB6" s="833"/>
      <c r="AC6" s="833" t="s">
        <v>5</v>
      </c>
      <c r="AD6" s="833"/>
      <c r="AF6" s="184"/>
    </row>
    <row r="7" spans="2:32" s="82" customFormat="1" ht="13.5" customHeight="1" x14ac:dyDescent="0.2">
      <c r="B7" s="476"/>
      <c r="C7" s="824"/>
      <c r="D7" s="824"/>
      <c r="E7" s="253"/>
      <c r="F7" s="253"/>
      <c r="G7" s="253"/>
      <c r="H7" s="253"/>
      <c r="I7" s="253"/>
      <c r="J7" s="215"/>
      <c r="K7" s="215"/>
      <c r="L7" s="215"/>
      <c r="M7" s="215"/>
      <c r="N7" s="215"/>
      <c r="O7" s="335"/>
      <c r="P7" s="215"/>
      <c r="Q7" s="253"/>
      <c r="R7" s="253"/>
      <c r="S7" s="253"/>
      <c r="T7" s="253"/>
      <c r="U7" s="253"/>
      <c r="V7" s="253"/>
      <c r="W7" s="253"/>
      <c r="X7" s="253"/>
      <c r="Y7" s="215"/>
      <c r="Z7" s="215"/>
      <c r="AA7" s="574"/>
      <c r="AB7" s="574"/>
      <c r="AC7" s="330"/>
      <c r="AD7" s="53"/>
      <c r="AF7" s="184"/>
    </row>
    <row r="8" spans="2:32" s="3" customFormat="1" ht="35.1" customHeight="1" x14ac:dyDescent="0.2">
      <c r="B8" s="476"/>
      <c r="C8" s="823" t="s">
        <v>298</v>
      </c>
      <c r="D8" s="823"/>
      <c r="E8" s="575"/>
      <c r="F8" s="575"/>
      <c r="G8" s="575"/>
      <c r="H8" s="575"/>
      <c r="I8" s="575"/>
      <c r="J8" s="575"/>
      <c r="K8" s="575"/>
      <c r="L8" s="575"/>
      <c r="M8" s="209"/>
      <c r="N8" s="575"/>
      <c r="O8" s="210"/>
      <c r="P8" s="576"/>
      <c r="Q8" s="576"/>
      <c r="R8" s="576"/>
      <c r="S8" s="576"/>
      <c r="T8" s="576"/>
      <c r="U8" s="576"/>
      <c r="V8" s="576"/>
      <c r="W8" s="210"/>
      <c r="X8" s="575"/>
      <c r="Y8" s="210"/>
      <c r="Z8" s="575"/>
      <c r="AA8" s="577"/>
      <c r="AB8" s="577"/>
      <c r="AC8" s="193"/>
      <c r="AF8" s="687"/>
    </row>
    <row r="9" spans="2:32" s="3" customFormat="1" ht="35.1" customHeight="1" x14ac:dyDescent="0.2">
      <c r="B9" s="476"/>
      <c r="C9" s="824" t="s">
        <v>334</v>
      </c>
      <c r="D9" s="824"/>
      <c r="E9" s="578"/>
      <c r="F9" s="578"/>
      <c r="G9" s="578"/>
      <c r="H9" s="578"/>
      <c r="I9" s="578"/>
      <c r="J9" s="578"/>
      <c r="K9" s="578"/>
      <c r="L9" s="578"/>
      <c r="M9" s="570"/>
      <c r="N9" s="578"/>
      <c r="O9" s="571"/>
      <c r="P9" s="579"/>
      <c r="Q9" s="579"/>
      <c r="R9" s="579"/>
      <c r="S9" s="579"/>
      <c r="T9" s="579"/>
      <c r="U9" s="579"/>
      <c r="V9" s="579"/>
      <c r="W9" s="571"/>
      <c r="X9" s="578"/>
      <c r="Y9" s="571"/>
      <c r="Z9" s="578"/>
      <c r="AA9" s="580"/>
      <c r="AB9" s="580"/>
      <c r="AC9" s="581"/>
      <c r="AD9" s="572"/>
      <c r="AE9" s="572"/>
      <c r="AF9" s="679"/>
    </row>
    <row r="10" spans="2:32" s="3" customFormat="1" ht="35.1" customHeight="1" x14ac:dyDescent="0.2">
      <c r="B10" s="476"/>
      <c r="C10" s="477" t="s">
        <v>275</v>
      </c>
      <c r="D10" s="478"/>
      <c r="E10" s="571">
        <v>0</v>
      </c>
      <c r="F10" s="571"/>
      <c r="G10" s="571">
        <v>0</v>
      </c>
      <c r="H10" s="571"/>
      <c r="I10" s="571">
        <v>0</v>
      </c>
      <c r="J10" s="571"/>
      <c r="K10" s="571">
        <v>0</v>
      </c>
      <c r="L10" s="571"/>
      <c r="M10" s="571">
        <v>0</v>
      </c>
      <c r="N10" s="571"/>
      <c r="O10" s="571">
        <v>0</v>
      </c>
      <c r="P10" s="571"/>
      <c r="Q10" s="571">
        <v>0</v>
      </c>
      <c r="R10" s="571"/>
      <c r="S10" s="571">
        <v>1</v>
      </c>
      <c r="T10" s="571"/>
      <c r="U10" s="571">
        <v>0</v>
      </c>
      <c r="V10" s="571"/>
      <c r="W10" s="571">
        <v>0</v>
      </c>
      <c r="X10" s="571"/>
      <c r="Y10" s="571">
        <v>0</v>
      </c>
      <c r="Z10" s="571"/>
      <c r="AA10" s="582">
        <f>SUM(E10:Z10)</f>
        <v>1</v>
      </c>
      <c r="AB10" s="582"/>
      <c r="AC10" s="583">
        <f>AA10/$AA$91*100</f>
        <v>1.7241379310344827</v>
      </c>
      <c r="AD10" s="572"/>
      <c r="AE10" s="572"/>
    </row>
    <row r="11" spans="2:32" s="3" customFormat="1" ht="35.1" customHeight="1" x14ac:dyDescent="0.2">
      <c r="B11" s="476"/>
      <c r="C11" s="477" t="s">
        <v>15</v>
      </c>
      <c r="D11" s="478"/>
      <c r="E11" s="571">
        <v>0</v>
      </c>
      <c r="F11" s="571"/>
      <c r="G11" s="571">
        <v>0</v>
      </c>
      <c r="H11" s="571"/>
      <c r="I11" s="571">
        <v>0</v>
      </c>
      <c r="J11" s="571"/>
      <c r="K11" s="571">
        <v>0</v>
      </c>
      <c r="L11" s="571"/>
      <c r="M11" s="571">
        <v>0</v>
      </c>
      <c r="N11" s="571"/>
      <c r="O11" s="571">
        <v>0</v>
      </c>
      <c r="P11" s="571"/>
      <c r="Q11" s="571">
        <v>0</v>
      </c>
      <c r="R11" s="571"/>
      <c r="S11" s="571">
        <v>85</v>
      </c>
      <c r="T11" s="571"/>
      <c r="U11" s="571">
        <v>0</v>
      </c>
      <c r="V11" s="571"/>
      <c r="W11" s="571">
        <v>0</v>
      </c>
      <c r="X11" s="571"/>
      <c r="Y11" s="571">
        <v>0</v>
      </c>
      <c r="Z11" s="571"/>
      <c r="AA11" s="582">
        <f>SUM(E11:Z11)</f>
        <v>85</v>
      </c>
      <c r="AB11" s="582"/>
      <c r="AC11" s="583">
        <f>AA11/$AA$92*100</f>
        <v>0.1142995454912191</v>
      </c>
      <c r="AD11" s="572"/>
      <c r="AE11" s="572"/>
    </row>
    <row r="12" spans="2:32" s="3" customFormat="1" ht="35.1" customHeight="1" x14ac:dyDescent="0.2">
      <c r="B12" s="476"/>
      <c r="C12" s="477" t="s">
        <v>16</v>
      </c>
      <c r="D12" s="478"/>
      <c r="E12" s="571">
        <v>0</v>
      </c>
      <c r="F12" s="571"/>
      <c r="G12" s="571">
        <v>0</v>
      </c>
      <c r="H12" s="571"/>
      <c r="I12" s="571">
        <v>0</v>
      </c>
      <c r="J12" s="571"/>
      <c r="K12" s="571">
        <v>0</v>
      </c>
      <c r="L12" s="571"/>
      <c r="M12" s="571">
        <v>0</v>
      </c>
      <c r="N12" s="571"/>
      <c r="O12" s="571">
        <v>0</v>
      </c>
      <c r="P12" s="571"/>
      <c r="Q12" s="571">
        <v>0</v>
      </c>
      <c r="R12" s="571"/>
      <c r="S12" s="571">
        <v>2040</v>
      </c>
      <c r="T12" s="571"/>
      <c r="U12" s="571">
        <v>0</v>
      </c>
      <c r="V12" s="571"/>
      <c r="W12" s="571">
        <v>0</v>
      </c>
      <c r="X12" s="571"/>
      <c r="Y12" s="571">
        <v>0</v>
      </c>
      <c r="Z12" s="571"/>
      <c r="AA12" s="582">
        <f>SUM(E12:Z12)</f>
        <v>2040</v>
      </c>
      <c r="AB12" s="582"/>
      <c r="AC12" s="583">
        <f>AA12/$AA$93*100</f>
        <v>2.6215236861090344E-2</v>
      </c>
      <c r="AD12" s="572"/>
      <c r="AE12" s="572"/>
    </row>
    <row r="13" spans="2:32" s="3" customFormat="1" ht="35.1" customHeight="1" x14ac:dyDescent="0.2">
      <c r="B13" s="476"/>
      <c r="C13" s="823" t="s">
        <v>241</v>
      </c>
      <c r="D13" s="823"/>
      <c r="E13" s="578"/>
      <c r="F13" s="578"/>
      <c r="G13" s="578"/>
      <c r="H13" s="578"/>
      <c r="I13" s="578"/>
      <c r="J13" s="578"/>
      <c r="K13" s="578"/>
      <c r="L13" s="578"/>
      <c r="M13" s="570"/>
      <c r="N13" s="578"/>
      <c r="O13" s="571"/>
      <c r="P13" s="579"/>
      <c r="Q13" s="578"/>
      <c r="R13" s="579"/>
      <c r="S13" s="578"/>
      <c r="T13" s="579"/>
      <c r="U13" s="578"/>
      <c r="V13" s="579"/>
      <c r="W13" s="578"/>
      <c r="X13" s="578"/>
      <c r="Y13" s="578"/>
      <c r="Z13" s="578"/>
      <c r="AA13" s="582"/>
      <c r="AB13" s="582"/>
      <c r="AC13" s="584"/>
      <c r="AD13" s="572"/>
      <c r="AE13" s="572"/>
      <c r="AF13" s="687"/>
    </row>
    <row r="14" spans="2:32" s="3" customFormat="1" ht="35.1" customHeight="1" x14ac:dyDescent="0.2">
      <c r="B14" s="476"/>
      <c r="C14" s="824" t="s">
        <v>242</v>
      </c>
      <c r="D14" s="824"/>
      <c r="E14" s="579"/>
      <c r="F14" s="579"/>
      <c r="G14" s="579"/>
      <c r="H14" s="579"/>
      <c r="I14" s="579"/>
      <c r="J14" s="578"/>
      <c r="K14" s="578"/>
      <c r="L14" s="578"/>
      <c r="M14" s="585"/>
      <c r="N14" s="578"/>
      <c r="O14" s="579"/>
      <c r="P14" s="579"/>
      <c r="Q14" s="578"/>
      <c r="R14" s="579"/>
      <c r="S14" s="578"/>
      <c r="T14" s="579"/>
      <c r="U14" s="578"/>
      <c r="V14" s="579"/>
      <c r="W14" s="578"/>
      <c r="X14" s="578"/>
      <c r="Y14" s="578"/>
      <c r="Z14" s="578"/>
      <c r="AA14" s="582"/>
      <c r="AB14" s="582"/>
      <c r="AC14" s="584"/>
      <c r="AD14" s="572"/>
      <c r="AE14" s="572"/>
      <c r="AF14" s="679"/>
    </row>
    <row r="15" spans="2:32" s="3" customFormat="1" ht="35.1" customHeight="1" x14ac:dyDescent="0.2">
      <c r="B15" s="476"/>
      <c r="C15" s="477" t="s">
        <v>275</v>
      </c>
      <c r="D15" s="478"/>
      <c r="E15" s="571">
        <v>0</v>
      </c>
      <c r="F15" s="571"/>
      <c r="G15" s="571">
        <v>0</v>
      </c>
      <c r="H15" s="571"/>
      <c r="I15" s="571">
        <v>0</v>
      </c>
      <c r="J15" s="571"/>
      <c r="K15" s="571">
        <v>0</v>
      </c>
      <c r="L15" s="571"/>
      <c r="M15" s="571">
        <v>0</v>
      </c>
      <c r="N15" s="571"/>
      <c r="O15" s="571">
        <v>0</v>
      </c>
      <c r="P15" s="571"/>
      <c r="Q15" s="571">
        <v>0</v>
      </c>
      <c r="R15" s="571"/>
      <c r="S15" s="571">
        <v>2</v>
      </c>
      <c r="T15" s="571"/>
      <c r="U15" s="571">
        <v>1</v>
      </c>
      <c r="V15" s="571"/>
      <c r="W15" s="571">
        <v>0</v>
      </c>
      <c r="X15" s="571"/>
      <c r="Y15" s="571">
        <v>0</v>
      </c>
      <c r="Z15" s="571"/>
      <c r="AA15" s="582">
        <f>SUM(E15:Z15)</f>
        <v>3</v>
      </c>
      <c r="AB15" s="582"/>
      <c r="AC15" s="583">
        <f>AA15/$AA$91*100</f>
        <v>5.1724137931034484</v>
      </c>
      <c r="AD15" s="572"/>
      <c r="AE15" s="572"/>
    </row>
    <row r="16" spans="2:32" s="3" customFormat="1" ht="35.1" customHeight="1" x14ac:dyDescent="0.2">
      <c r="B16" s="476"/>
      <c r="C16" s="477" t="s">
        <v>15</v>
      </c>
      <c r="D16" s="478"/>
      <c r="E16" s="571">
        <v>0</v>
      </c>
      <c r="F16" s="571"/>
      <c r="G16" s="571">
        <v>0</v>
      </c>
      <c r="H16" s="571"/>
      <c r="I16" s="571">
        <v>0</v>
      </c>
      <c r="J16" s="571"/>
      <c r="K16" s="571">
        <v>0</v>
      </c>
      <c r="L16" s="571"/>
      <c r="M16" s="571">
        <v>0</v>
      </c>
      <c r="N16" s="571"/>
      <c r="O16" s="571">
        <v>0</v>
      </c>
      <c r="P16" s="571"/>
      <c r="Q16" s="571">
        <v>0</v>
      </c>
      <c r="R16" s="571"/>
      <c r="S16" s="571">
        <v>35</v>
      </c>
      <c r="T16" s="571"/>
      <c r="U16" s="571">
        <v>200</v>
      </c>
      <c r="V16" s="571"/>
      <c r="W16" s="571">
        <v>0</v>
      </c>
      <c r="X16" s="571"/>
      <c r="Y16" s="571">
        <v>0</v>
      </c>
      <c r="Z16" s="571"/>
      <c r="AA16" s="582">
        <f>SUM(E16:Z16)</f>
        <v>235</v>
      </c>
      <c r="AB16" s="582"/>
      <c r="AC16" s="583">
        <f>AA16/$AA$92*100</f>
        <v>0.31600462576984106</v>
      </c>
      <c r="AD16" s="572"/>
      <c r="AE16" s="572"/>
    </row>
    <row r="17" spans="2:32" s="3" customFormat="1" ht="35.1" customHeight="1" x14ac:dyDescent="0.2">
      <c r="B17" s="476"/>
      <c r="C17" s="477" t="s">
        <v>16</v>
      </c>
      <c r="D17" s="478"/>
      <c r="E17" s="571">
        <v>0</v>
      </c>
      <c r="F17" s="571"/>
      <c r="G17" s="571">
        <v>0</v>
      </c>
      <c r="H17" s="571"/>
      <c r="I17" s="571">
        <v>0</v>
      </c>
      <c r="J17" s="571"/>
      <c r="K17" s="571">
        <v>0</v>
      </c>
      <c r="L17" s="571"/>
      <c r="M17" s="571">
        <v>0</v>
      </c>
      <c r="N17" s="571"/>
      <c r="O17" s="571">
        <v>0</v>
      </c>
      <c r="P17" s="571"/>
      <c r="Q17" s="571">
        <v>0</v>
      </c>
      <c r="R17" s="571"/>
      <c r="S17" s="571">
        <v>680</v>
      </c>
      <c r="T17" s="571"/>
      <c r="U17" s="571">
        <v>1600</v>
      </c>
      <c r="V17" s="571"/>
      <c r="W17" s="571">
        <v>0</v>
      </c>
      <c r="X17" s="571"/>
      <c r="Y17" s="571">
        <v>0</v>
      </c>
      <c r="Z17" s="571"/>
      <c r="AA17" s="582">
        <f>SUM(E17:Z17)</f>
        <v>2280</v>
      </c>
      <c r="AB17" s="582"/>
      <c r="AC17" s="583">
        <f>AA17/$AA$93*100</f>
        <v>2.9299382374159796E-2</v>
      </c>
      <c r="AD17" s="572"/>
      <c r="AE17" s="572"/>
    </row>
    <row r="18" spans="2:32" s="3" customFormat="1" ht="35.1" customHeight="1" x14ac:dyDescent="0.2">
      <c r="B18" s="476"/>
      <c r="C18" s="823" t="s">
        <v>243</v>
      </c>
      <c r="D18" s="823"/>
      <c r="E18" s="578"/>
      <c r="F18" s="578"/>
      <c r="G18" s="578"/>
      <c r="H18" s="578"/>
      <c r="I18" s="578"/>
      <c r="J18" s="578"/>
      <c r="K18" s="578"/>
      <c r="L18" s="578"/>
      <c r="M18" s="585"/>
      <c r="N18" s="578"/>
      <c r="O18" s="579"/>
      <c r="P18" s="579"/>
      <c r="Q18" s="578"/>
      <c r="R18" s="579"/>
      <c r="S18" s="578"/>
      <c r="T18" s="579"/>
      <c r="U18" s="578"/>
      <c r="V18" s="579"/>
      <c r="W18" s="578"/>
      <c r="X18" s="578"/>
      <c r="Y18" s="578"/>
      <c r="Z18" s="578"/>
      <c r="AA18" s="582"/>
      <c r="AB18" s="572"/>
      <c r="AC18" s="586"/>
      <c r="AD18" s="587"/>
      <c r="AE18" s="572"/>
      <c r="AF18" s="687"/>
    </row>
    <row r="19" spans="2:32" s="3" customFormat="1" ht="35.1" customHeight="1" x14ac:dyDescent="0.2">
      <c r="B19" s="476"/>
      <c r="C19" s="824" t="s">
        <v>243</v>
      </c>
      <c r="D19" s="824"/>
      <c r="E19" s="578"/>
      <c r="F19" s="578"/>
      <c r="G19" s="578"/>
      <c r="H19" s="578"/>
      <c r="I19" s="578"/>
      <c r="J19" s="578"/>
      <c r="K19" s="578"/>
      <c r="L19" s="578"/>
      <c r="M19" s="585"/>
      <c r="N19" s="578"/>
      <c r="O19" s="579"/>
      <c r="P19" s="579"/>
      <c r="Q19" s="578"/>
      <c r="R19" s="579"/>
      <c r="S19" s="578"/>
      <c r="T19" s="579"/>
      <c r="U19" s="578"/>
      <c r="V19" s="579"/>
      <c r="W19" s="578"/>
      <c r="X19" s="578"/>
      <c r="Y19" s="578"/>
      <c r="Z19" s="578"/>
      <c r="AA19" s="582"/>
      <c r="AB19" s="572"/>
      <c r="AC19" s="586"/>
      <c r="AD19" s="587"/>
      <c r="AE19" s="572"/>
      <c r="AF19" s="679"/>
    </row>
    <row r="20" spans="2:32" s="3" customFormat="1" ht="35.1" customHeight="1" x14ac:dyDescent="0.2">
      <c r="B20" s="476"/>
      <c r="C20" s="477" t="s">
        <v>275</v>
      </c>
      <c r="D20" s="478"/>
      <c r="E20" s="571">
        <v>0</v>
      </c>
      <c r="F20" s="571"/>
      <c r="G20" s="571">
        <v>1</v>
      </c>
      <c r="H20" s="571"/>
      <c r="I20" s="571">
        <v>3</v>
      </c>
      <c r="J20" s="571"/>
      <c r="K20" s="571">
        <v>0</v>
      </c>
      <c r="L20" s="571"/>
      <c r="M20" s="571">
        <v>0</v>
      </c>
      <c r="N20" s="571"/>
      <c r="O20" s="571">
        <v>1</v>
      </c>
      <c r="P20" s="571"/>
      <c r="Q20" s="571">
        <v>0</v>
      </c>
      <c r="R20" s="571"/>
      <c r="S20" s="571">
        <v>3</v>
      </c>
      <c r="T20" s="571"/>
      <c r="U20" s="571">
        <v>1</v>
      </c>
      <c r="V20" s="571"/>
      <c r="W20" s="571">
        <v>0</v>
      </c>
      <c r="X20" s="571"/>
      <c r="Y20" s="571">
        <v>0</v>
      </c>
      <c r="Z20" s="571"/>
      <c r="AA20" s="582">
        <f>SUM(E20:Z20)</f>
        <v>9</v>
      </c>
      <c r="AB20" s="582"/>
      <c r="AC20" s="583">
        <f>AA20/$AA$91*100</f>
        <v>15.517241379310345</v>
      </c>
      <c r="AD20" s="587"/>
      <c r="AE20" s="572"/>
      <c r="AF20" s="687"/>
    </row>
    <row r="21" spans="2:32" s="3" customFormat="1" ht="35.1" customHeight="1" x14ac:dyDescent="0.2">
      <c r="B21" s="476"/>
      <c r="C21" s="477" t="s">
        <v>15</v>
      </c>
      <c r="D21" s="478"/>
      <c r="E21" s="571">
        <v>0</v>
      </c>
      <c r="F21" s="571"/>
      <c r="G21" s="571">
        <v>388</v>
      </c>
      <c r="H21" s="571"/>
      <c r="I21" s="571">
        <v>403</v>
      </c>
      <c r="J21" s="571"/>
      <c r="K21" s="571">
        <v>0</v>
      </c>
      <c r="L21" s="571"/>
      <c r="M21" s="571">
        <v>0</v>
      </c>
      <c r="N21" s="571"/>
      <c r="O21" s="571">
        <v>41</v>
      </c>
      <c r="P21" s="571"/>
      <c r="Q21" s="571">
        <v>0</v>
      </c>
      <c r="R21" s="571"/>
      <c r="S21" s="571">
        <v>264</v>
      </c>
      <c r="T21" s="571"/>
      <c r="U21" s="571">
        <v>109</v>
      </c>
      <c r="V21" s="571"/>
      <c r="W21" s="571">
        <v>0</v>
      </c>
      <c r="X21" s="571"/>
      <c r="Y21" s="571">
        <v>0</v>
      </c>
      <c r="Z21" s="571"/>
      <c r="AA21" s="582">
        <f>SUM(E21:Z21)</f>
        <v>1205</v>
      </c>
      <c r="AB21" s="582"/>
      <c r="AC21" s="583">
        <f>AA21/$AA$92*100</f>
        <v>1.6203641449049295</v>
      </c>
      <c r="AD21" s="587"/>
      <c r="AE21" s="572"/>
      <c r="AF21" s="679"/>
    </row>
    <row r="22" spans="2:32" s="3" customFormat="1" ht="35.1" customHeight="1" x14ac:dyDescent="0.2">
      <c r="B22" s="476"/>
      <c r="C22" s="477" t="s">
        <v>16</v>
      </c>
      <c r="D22" s="478"/>
      <c r="E22" s="571">
        <v>0</v>
      </c>
      <c r="F22" s="571"/>
      <c r="G22" s="571">
        <v>52768</v>
      </c>
      <c r="H22" s="571"/>
      <c r="I22" s="571">
        <v>5272</v>
      </c>
      <c r="J22" s="571"/>
      <c r="K22" s="571">
        <v>0</v>
      </c>
      <c r="L22" s="571"/>
      <c r="M22" s="571">
        <v>0</v>
      </c>
      <c r="N22" s="571"/>
      <c r="O22" s="571">
        <v>656</v>
      </c>
      <c r="P22" s="571"/>
      <c r="Q22" s="571">
        <v>0</v>
      </c>
      <c r="R22" s="571"/>
      <c r="S22" s="571">
        <v>12792</v>
      </c>
      <c r="T22" s="571"/>
      <c r="U22" s="571">
        <v>7848</v>
      </c>
      <c r="V22" s="571"/>
      <c r="W22" s="571">
        <v>0</v>
      </c>
      <c r="X22" s="571"/>
      <c r="Y22" s="571">
        <v>0</v>
      </c>
      <c r="Z22" s="571"/>
      <c r="AA22" s="582">
        <f>SUM(E22:Z22)</f>
        <v>79336</v>
      </c>
      <c r="AB22" s="582"/>
      <c r="AC22" s="583">
        <f>AA22/$AA$93*100</f>
        <v>1.0195157017703251</v>
      </c>
      <c r="AD22" s="587"/>
      <c r="AE22" s="572"/>
      <c r="AF22" s="678"/>
    </row>
    <row r="23" spans="2:32" s="3" customFormat="1" ht="35.1" customHeight="1" x14ac:dyDescent="0.2">
      <c r="B23" s="476"/>
      <c r="C23" s="588" t="s">
        <v>302</v>
      </c>
      <c r="D23" s="589"/>
      <c r="E23" s="578"/>
      <c r="F23" s="578"/>
      <c r="G23" s="578"/>
      <c r="H23" s="578"/>
      <c r="I23" s="578"/>
      <c r="J23" s="578"/>
      <c r="K23" s="578"/>
      <c r="L23" s="578"/>
      <c r="M23" s="585"/>
      <c r="N23" s="578"/>
      <c r="O23" s="579"/>
      <c r="P23" s="579"/>
      <c r="Q23" s="578"/>
      <c r="R23" s="579"/>
      <c r="S23" s="578"/>
      <c r="T23" s="579"/>
      <c r="U23" s="578"/>
      <c r="V23" s="579"/>
      <c r="W23" s="578"/>
      <c r="X23" s="578"/>
      <c r="Y23" s="578"/>
      <c r="Z23" s="578"/>
      <c r="AA23" s="582"/>
      <c r="AB23" s="572"/>
      <c r="AC23" s="586"/>
      <c r="AD23" s="587"/>
      <c r="AE23" s="572"/>
      <c r="AF23" s="679"/>
    </row>
    <row r="24" spans="2:32" s="3" customFormat="1" ht="35.1" customHeight="1" x14ac:dyDescent="0.2">
      <c r="B24" s="476"/>
      <c r="C24" s="590" t="s">
        <v>302</v>
      </c>
      <c r="D24" s="591"/>
      <c r="E24" s="578"/>
      <c r="F24" s="578"/>
      <c r="G24" s="578"/>
      <c r="H24" s="578"/>
      <c r="I24" s="578"/>
      <c r="J24" s="578"/>
      <c r="K24" s="578"/>
      <c r="L24" s="578"/>
      <c r="M24" s="585"/>
      <c r="N24" s="578"/>
      <c r="O24" s="579"/>
      <c r="P24" s="579"/>
      <c r="Q24" s="578"/>
      <c r="R24" s="579"/>
      <c r="S24" s="578"/>
      <c r="T24" s="579"/>
      <c r="U24" s="578"/>
      <c r="V24" s="579"/>
      <c r="W24" s="578"/>
      <c r="X24" s="578"/>
      <c r="Y24" s="578"/>
      <c r="Z24" s="578"/>
      <c r="AA24" s="582"/>
      <c r="AB24" s="572"/>
      <c r="AC24" s="586"/>
      <c r="AD24" s="587"/>
      <c r="AE24" s="572"/>
    </row>
    <row r="25" spans="2:32" s="3" customFormat="1" ht="35.1" customHeight="1" x14ac:dyDescent="0.2">
      <c r="B25" s="476"/>
      <c r="C25" s="477" t="s">
        <v>275</v>
      </c>
      <c r="D25" s="478"/>
      <c r="E25" s="571">
        <v>0</v>
      </c>
      <c r="F25" s="571"/>
      <c r="G25" s="571">
        <v>1</v>
      </c>
      <c r="H25" s="571"/>
      <c r="I25" s="571">
        <v>0</v>
      </c>
      <c r="J25" s="571"/>
      <c r="K25" s="571">
        <v>0</v>
      </c>
      <c r="L25" s="571"/>
      <c r="M25" s="571">
        <v>0</v>
      </c>
      <c r="N25" s="571"/>
      <c r="O25" s="571">
        <v>0</v>
      </c>
      <c r="P25" s="571"/>
      <c r="Q25" s="571">
        <v>0</v>
      </c>
      <c r="R25" s="571"/>
      <c r="S25" s="571">
        <v>0</v>
      </c>
      <c r="T25" s="571"/>
      <c r="U25" s="571">
        <v>0</v>
      </c>
      <c r="V25" s="571"/>
      <c r="W25" s="571">
        <v>0</v>
      </c>
      <c r="X25" s="571"/>
      <c r="Y25" s="571">
        <v>0</v>
      </c>
      <c r="Z25" s="571"/>
      <c r="AA25" s="582">
        <f>SUM(E25:Z25)</f>
        <v>1</v>
      </c>
      <c r="AB25" s="582"/>
      <c r="AC25" s="583">
        <f>AA25/$AA$91*100</f>
        <v>1.7241379310344827</v>
      </c>
      <c r="AD25" s="587"/>
      <c r="AE25" s="572"/>
    </row>
    <row r="26" spans="2:32" s="3" customFormat="1" ht="35.1" customHeight="1" x14ac:dyDescent="0.2">
      <c r="B26" s="476"/>
      <c r="C26" s="477" t="s">
        <v>15</v>
      </c>
      <c r="D26" s="478"/>
      <c r="E26" s="571">
        <v>0</v>
      </c>
      <c r="F26" s="571"/>
      <c r="G26" s="571">
        <v>400</v>
      </c>
      <c r="H26" s="571"/>
      <c r="I26" s="571">
        <v>0</v>
      </c>
      <c r="J26" s="571"/>
      <c r="K26" s="571">
        <v>0</v>
      </c>
      <c r="L26" s="571"/>
      <c r="M26" s="571">
        <v>0</v>
      </c>
      <c r="N26" s="571"/>
      <c r="O26" s="571">
        <v>0</v>
      </c>
      <c r="P26" s="571"/>
      <c r="Q26" s="571">
        <v>0</v>
      </c>
      <c r="R26" s="571"/>
      <c r="S26" s="571">
        <v>0</v>
      </c>
      <c r="T26" s="571"/>
      <c r="U26" s="571">
        <v>0</v>
      </c>
      <c r="V26" s="571"/>
      <c r="W26" s="571">
        <v>0</v>
      </c>
      <c r="X26" s="571"/>
      <c r="Y26" s="571">
        <v>0</v>
      </c>
      <c r="Z26" s="571"/>
      <c r="AA26" s="582">
        <f>SUM(E26:Z26)</f>
        <v>400</v>
      </c>
      <c r="AB26" s="582"/>
      <c r="AC26" s="583">
        <f>AA26/$AA$92*100</f>
        <v>0.53788021407632525</v>
      </c>
      <c r="AD26" s="587"/>
      <c r="AE26" s="572"/>
    </row>
    <row r="27" spans="2:32" s="3" customFormat="1" ht="35.1" customHeight="1" x14ac:dyDescent="0.2">
      <c r="B27" s="476"/>
      <c r="C27" s="477" t="s">
        <v>16</v>
      </c>
      <c r="D27" s="478"/>
      <c r="E27" s="571">
        <v>0</v>
      </c>
      <c r="F27" s="571"/>
      <c r="G27" s="571">
        <v>12800</v>
      </c>
      <c r="H27" s="571"/>
      <c r="I27" s="571">
        <v>0</v>
      </c>
      <c r="J27" s="571"/>
      <c r="K27" s="571">
        <v>0</v>
      </c>
      <c r="L27" s="571"/>
      <c r="M27" s="571">
        <v>0</v>
      </c>
      <c r="N27" s="571"/>
      <c r="O27" s="571">
        <v>0</v>
      </c>
      <c r="P27" s="571"/>
      <c r="Q27" s="571">
        <v>0</v>
      </c>
      <c r="R27" s="571"/>
      <c r="S27" s="571">
        <v>0</v>
      </c>
      <c r="T27" s="571"/>
      <c r="U27" s="571">
        <v>0</v>
      </c>
      <c r="V27" s="571"/>
      <c r="W27" s="571">
        <v>0</v>
      </c>
      <c r="X27" s="571"/>
      <c r="Y27" s="571">
        <v>0</v>
      </c>
      <c r="Z27" s="571"/>
      <c r="AA27" s="582">
        <f>SUM(E27:Z27)</f>
        <v>12800</v>
      </c>
      <c r="AB27" s="582"/>
      <c r="AC27" s="583">
        <f>AA27/$AA$93*100</f>
        <v>0.16448776069703744</v>
      </c>
      <c r="AD27" s="587"/>
      <c r="AE27" s="572"/>
    </row>
    <row r="28" spans="2:32" s="3" customFormat="1" ht="35.1" customHeight="1" x14ac:dyDescent="0.2">
      <c r="B28" s="476"/>
      <c r="C28" s="588" t="s">
        <v>304</v>
      </c>
      <c r="D28" s="589"/>
      <c r="E28" s="578"/>
      <c r="F28" s="578"/>
      <c r="G28" s="578"/>
      <c r="H28" s="578"/>
      <c r="I28" s="578"/>
      <c r="J28" s="578"/>
      <c r="K28" s="578"/>
      <c r="L28" s="578"/>
      <c r="M28" s="585"/>
      <c r="N28" s="578"/>
      <c r="O28" s="579"/>
      <c r="P28" s="579"/>
      <c r="Q28" s="578"/>
      <c r="R28" s="579"/>
      <c r="S28" s="578"/>
      <c r="T28" s="579"/>
      <c r="U28" s="578"/>
      <c r="V28" s="579"/>
      <c r="W28" s="578"/>
      <c r="X28" s="578"/>
      <c r="Y28" s="578"/>
      <c r="Z28" s="578"/>
      <c r="AA28" s="582"/>
      <c r="AB28" s="572"/>
      <c r="AC28" s="586"/>
      <c r="AD28" s="587"/>
      <c r="AE28" s="572"/>
    </row>
    <row r="29" spans="2:32" s="3" customFormat="1" ht="35.1" customHeight="1" x14ac:dyDescent="0.2">
      <c r="B29" s="476"/>
      <c r="C29" s="590" t="s">
        <v>304</v>
      </c>
      <c r="D29" s="591"/>
      <c r="E29" s="578"/>
      <c r="F29" s="578"/>
      <c r="G29" s="578"/>
      <c r="H29" s="578"/>
      <c r="I29" s="578"/>
      <c r="J29" s="578"/>
      <c r="K29" s="578"/>
      <c r="L29" s="578"/>
      <c r="M29" s="585"/>
      <c r="N29" s="578"/>
      <c r="O29" s="579"/>
      <c r="P29" s="579"/>
      <c r="Q29" s="578"/>
      <c r="R29" s="579"/>
      <c r="S29" s="578"/>
      <c r="T29" s="579"/>
      <c r="U29" s="578"/>
      <c r="V29" s="579"/>
      <c r="W29" s="578"/>
      <c r="X29" s="578"/>
      <c r="Y29" s="578"/>
      <c r="Z29" s="578"/>
      <c r="AA29" s="582"/>
      <c r="AB29" s="572"/>
      <c r="AC29" s="586"/>
      <c r="AD29" s="587"/>
      <c r="AE29" s="572"/>
    </row>
    <row r="30" spans="2:32" s="3" customFormat="1" ht="35.1" customHeight="1" x14ac:dyDescent="0.2">
      <c r="B30" s="476"/>
      <c r="C30" s="477" t="s">
        <v>275</v>
      </c>
      <c r="D30" s="478"/>
      <c r="E30" s="571">
        <v>0</v>
      </c>
      <c r="F30" s="571"/>
      <c r="G30" s="571">
        <v>0</v>
      </c>
      <c r="H30" s="571"/>
      <c r="I30" s="571">
        <v>0</v>
      </c>
      <c r="J30" s="571"/>
      <c r="K30" s="571">
        <v>0</v>
      </c>
      <c r="L30" s="571"/>
      <c r="M30" s="571">
        <v>0</v>
      </c>
      <c r="N30" s="571"/>
      <c r="O30" s="571">
        <v>0</v>
      </c>
      <c r="P30" s="571"/>
      <c r="Q30" s="571">
        <v>0</v>
      </c>
      <c r="R30" s="571"/>
      <c r="S30" s="571">
        <v>2</v>
      </c>
      <c r="T30" s="571"/>
      <c r="U30" s="571">
        <v>0</v>
      </c>
      <c r="V30" s="571"/>
      <c r="W30" s="571">
        <v>0</v>
      </c>
      <c r="X30" s="571"/>
      <c r="Y30" s="571">
        <v>0</v>
      </c>
      <c r="Z30" s="571"/>
      <c r="AA30" s="582">
        <f>SUM(E30:Z30)</f>
        <v>2</v>
      </c>
      <c r="AB30" s="582"/>
      <c r="AC30" s="583">
        <f>AA30/$AA$91*100</f>
        <v>3.4482758620689653</v>
      </c>
      <c r="AD30" s="587"/>
      <c r="AE30" s="572"/>
    </row>
    <row r="31" spans="2:32" s="3" customFormat="1" ht="35.1" customHeight="1" x14ac:dyDescent="0.2">
      <c r="B31" s="476"/>
      <c r="C31" s="477" t="s">
        <v>15</v>
      </c>
      <c r="D31" s="478"/>
      <c r="E31" s="571">
        <v>0</v>
      </c>
      <c r="F31" s="571"/>
      <c r="G31" s="571">
        <v>0</v>
      </c>
      <c r="H31" s="571"/>
      <c r="I31" s="571">
        <v>0</v>
      </c>
      <c r="J31" s="571"/>
      <c r="K31" s="571">
        <v>0</v>
      </c>
      <c r="L31" s="571"/>
      <c r="M31" s="571">
        <v>0</v>
      </c>
      <c r="N31" s="571"/>
      <c r="O31" s="571">
        <v>0</v>
      </c>
      <c r="P31" s="571"/>
      <c r="Q31" s="571">
        <v>0</v>
      </c>
      <c r="R31" s="571"/>
      <c r="S31" s="571">
        <v>380</v>
      </c>
      <c r="T31" s="571"/>
      <c r="U31" s="571">
        <v>0</v>
      </c>
      <c r="V31" s="571"/>
      <c r="W31" s="571">
        <v>0</v>
      </c>
      <c r="X31" s="571"/>
      <c r="Y31" s="571">
        <v>0</v>
      </c>
      <c r="Z31" s="571"/>
      <c r="AA31" s="582">
        <f>SUM(E31:Z31)</f>
        <v>380</v>
      </c>
      <c r="AB31" s="582"/>
      <c r="AC31" s="583">
        <f>AA31/$AA$92*100</f>
        <v>0.51098620337250888</v>
      </c>
      <c r="AD31" s="587"/>
      <c r="AE31" s="572"/>
    </row>
    <row r="32" spans="2:32" s="3" customFormat="1" ht="35.1" customHeight="1" x14ac:dyDescent="0.2">
      <c r="B32" s="476"/>
      <c r="C32" s="477" t="s">
        <v>16</v>
      </c>
      <c r="D32" s="478"/>
      <c r="E32" s="571">
        <v>0</v>
      </c>
      <c r="F32" s="571"/>
      <c r="G32" s="571">
        <v>0</v>
      </c>
      <c r="H32" s="571"/>
      <c r="I32" s="571">
        <v>0</v>
      </c>
      <c r="J32" s="571"/>
      <c r="K32" s="571">
        <v>0</v>
      </c>
      <c r="L32" s="571"/>
      <c r="M32" s="571">
        <v>0</v>
      </c>
      <c r="N32" s="571"/>
      <c r="O32" s="571">
        <v>0</v>
      </c>
      <c r="P32" s="571"/>
      <c r="Q32" s="571">
        <v>0</v>
      </c>
      <c r="R32" s="571"/>
      <c r="S32" s="571">
        <v>3040</v>
      </c>
      <c r="T32" s="571"/>
      <c r="U32" s="571">
        <v>0</v>
      </c>
      <c r="V32" s="571"/>
      <c r="W32" s="571">
        <v>0</v>
      </c>
      <c r="X32" s="571"/>
      <c r="Y32" s="571">
        <v>0</v>
      </c>
      <c r="Z32" s="571"/>
      <c r="AA32" s="582">
        <f>SUM(E32:Z32)</f>
        <v>3040</v>
      </c>
      <c r="AB32" s="582"/>
      <c r="AC32" s="583">
        <f>AA32/$AA$93*100</f>
        <v>3.9065843165546392E-2</v>
      </c>
      <c r="AD32" s="587"/>
      <c r="AE32" s="572"/>
    </row>
    <row r="33" spans="2:32" s="3" customFormat="1" ht="35.1" customHeight="1" x14ac:dyDescent="0.2">
      <c r="B33" s="476"/>
      <c r="C33" s="823" t="s">
        <v>221</v>
      </c>
      <c r="D33" s="823"/>
      <c r="E33" s="571"/>
      <c r="F33" s="571"/>
      <c r="G33" s="571"/>
      <c r="H33" s="571"/>
      <c r="I33" s="571"/>
      <c r="J33" s="571"/>
      <c r="K33" s="571"/>
      <c r="L33" s="571"/>
      <c r="M33" s="571"/>
      <c r="N33" s="571"/>
      <c r="O33" s="571"/>
      <c r="P33" s="571"/>
      <c r="Q33" s="571"/>
      <c r="R33" s="571"/>
      <c r="S33" s="571"/>
      <c r="T33" s="571"/>
      <c r="U33" s="571"/>
      <c r="V33" s="571"/>
      <c r="W33" s="571"/>
      <c r="X33" s="578"/>
      <c r="Y33" s="571"/>
      <c r="Z33" s="578"/>
      <c r="AA33" s="582">
        <f>SUM(E33:Z33)</f>
        <v>0</v>
      </c>
      <c r="AB33" s="572"/>
      <c r="AC33" s="583">
        <f>AA33/AA92*100</f>
        <v>0</v>
      </c>
      <c r="AD33" s="572"/>
      <c r="AE33" s="572"/>
      <c r="AF33" s="687"/>
    </row>
    <row r="34" spans="2:32" s="3" customFormat="1" ht="35.1" customHeight="1" x14ac:dyDescent="0.2">
      <c r="B34" s="476"/>
      <c r="C34" s="824" t="s">
        <v>221</v>
      </c>
      <c r="D34" s="824"/>
      <c r="E34" s="579"/>
      <c r="F34" s="579"/>
      <c r="G34" s="572"/>
      <c r="H34" s="579"/>
      <c r="I34" s="572"/>
      <c r="J34" s="578"/>
      <c r="K34" s="578"/>
      <c r="L34" s="578"/>
      <c r="M34" s="585"/>
      <c r="N34" s="578"/>
      <c r="O34" s="579"/>
      <c r="P34" s="579"/>
      <c r="Q34" s="578"/>
      <c r="R34" s="579"/>
      <c r="S34" s="578"/>
      <c r="T34" s="579"/>
      <c r="U34" s="578"/>
      <c r="V34" s="579"/>
      <c r="W34" s="578"/>
      <c r="X34" s="578"/>
      <c r="Y34" s="578"/>
      <c r="Z34" s="578"/>
      <c r="AA34" s="572"/>
      <c r="AB34" s="572"/>
      <c r="AC34" s="586"/>
      <c r="AD34" s="572"/>
      <c r="AE34" s="572"/>
      <c r="AF34" s="679"/>
    </row>
    <row r="35" spans="2:32" s="3" customFormat="1" ht="35.1" customHeight="1" x14ac:dyDescent="0.2">
      <c r="B35" s="476"/>
      <c r="C35" s="477" t="s">
        <v>275</v>
      </c>
      <c r="D35" s="478"/>
      <c r="E35" s="571">
        <v>0</v>
      </c>
      <c r="F35" s="571"/>
      <c r="G35" s="571">
        <v>0</v>
      </c>
      <c r="H35" s="571"/>
      <c r="I35" s="571">
        <v>0</v>
      </c>
      <c r="J35" s="571"/>
      <c r="K35" s="571">
        <v>0</v>
      </c>
      <c r="L35" s="571"/>
      <c r="M35" s="571">
        <v>0</v>
      </c>
      <c r="N35" s="571"/>
      <c r="O35" s="571">
        <v>0</v>
      </c>
      <c r="P35" s="571"/>
      <c r="Q35" s="571">
        <v>0</v>
      </c>
      <c r="R35" s="571"/>
      <c r="S35" s="571">
        <v>0</v>
      </c>
      <c r="T35" s="571"/>
      <c r="U35" s="571">
        <v>0</v>
      </c>
      <c r="V35" s="571"/>
      <c r="W35" s="571">
        <v>0</v>
      </c>
      <c r="X35" s="571"/>
      <c r="Y35" s="571">
        <v>0</v>
      </c>
      <c r="Z35" s="571"/>
      <c r="AA35" s="582">
        <f>SUM(E35:Z35)</f>
        <v>0</v>
      </c>
      <c r="AB35" s="582"/>
      <c r="AC35" s="583">
        <f>AA35/$AA$91*100</f>
        <v>0</v>
      </c>
      <c r="AD35" s="587"/>
      <c r="AE35" s="572"/>
    </row>
    <row r="36" spans="2:32" s="3" customFormat="1" ht="35.1" customHeight="1" x14ac:dyDescent="0.2">
      <c r="B36" s="476"/>
      <c r="C36" s="477" t="s">
        <v>15</v>
      </c>
      <c r="D36" s="478"/>
      <c r="E36" s="571">
        <v>0</v>
      </c>
      <c r="F36" s="571"/>
      <c r="G36" s="571">
        <v>0</v>
      </c>
      <c r="H36" s="571"/>
      <c r="I36" s="571">
        <v>0</v>
      </c>
      <c r="J36" s="571"/>
      <c r="K36" s="571">
        <v>0</v>
      </c>
      <c r="L36" s="571"/>
      <c r="M36" s="571">
        <v>0</v>
      </c>
      <c r="N36" s="571"/>
      <c r="O36" s="571">
        <v>0</v>
      </c>
      <c r="P36" s="571"/>
      <c r="Q36" s="571">
        <v>0</v>
      </c>
      <c r="R36" s="571"/>
      <c r="S36" s="571">
        <v>0</v>
      </c>
      <c r="T36" s="571"/>
      <c r="U36" s="571">
        <v>0</v>
      </c>
      <c r="V36" s="571"/>
      <c r="W36" s="571">
        <v>0</v>
      </c>
      <c r="X36" s="571"/>
      <c r="Y36" s="571">
        <v>0</v>
      </c>
      <c r="Z36" s="571"/>
      <c r="AA36" s="582">
        <f>SUM(E36:Z36)</f>
        <v>0</v>
      </c>
      <c r="AB36" s="582"/>
      <c r="AC36" s="583">
        <f>AA36/$AA$92*100</f>
        <v>0</v>
      </c>
      <c r="AD36" s="587"/>
      <c r="AE36" s="572"/>
    </row>
    <row r="37" spans="2:32" s="3" customFormat="1" ht="35.1" customHeight="1" x14ac:dyDescent="0.2">
      <c r="B37" s="476"/>
      <c r="C37" s="477" t="s">
        <v>16</v>
      </c>
      <c r="D37" s="478"/>
      <c r="E37" s="571">
        <v>0</v>
      </c>
      <c r="F37" s="571"/>
      <c r="G37" s="571">
        <v>28136</v>
      </c>
      <c r="H37" s="571" t="s">
        <v>62</v>
      </c>
      <c r="I37" s="571">
        <v>0</v>
      </c>
      <c r="J37" s="571"/>
      <c r="K37" s="571">
        <v>0</v>
      </c>
      <c r="L37" s="571"/>
      <c r="M37" s="571">
        <v>0</v>
      </c>
      <c r="N37" s="571"/>
      <c r="O37" s="571">
        <v>0</v>
      </c>
      <c r="P37" s="571"/>
      <c r="Q37" s="571">
        <v>0</v>
      </c>
      <c r="R37" s="571"/>
      <c r="S37" s="571">
        <v>0</v>
      </c>
      <c r="T37" s="571"/>
      <c r="U37" s="571">
        <v>0</v>
      </c>
      <c r="V37" s="571"/>
      <c r="W37" s="571">
        <v>0</v>
      </c>
      <c r="X37" s="571"/>
      <c r="Y37" s="571">
        <v>0</v>
      </c>
      <c r="Z37" s="571"/>
      <c r="AA37" s="582">
        <f>SUM(E37:Z37)</f>
        <v>28136</v>
      </c>
      <c r="AB37" s="582"/>
      <c r="AC37" s="583">
        <f>AA37/$AA$93*100</f>
        <v>0.36156465898217544</v>
      </c>
      <c r="AD37" s="587"/>
      <c r="AE37" s="572"/>
    </row>
    <row r="38" spans="2:32" s="3" customFormat="1" ht="35.1" customHeight="1" x14ac:dyDescent="0.2">
      <c r="B38" s="476"/>
      <c r="C38" s="823" t="s">
        <v>268</v>
      </c>
      <c r="D38" s="823"/>
      <c r="E38" s="578"/>
      <c r="F38" s="578"/>
      <c r="G38" s="578"/>
      <c r="H38" s="578"/>
      <c r="I38" s="578"/>
      <c r="J38" s="578"/>
      <c r="K38" s="578"/>
      <c r="L38" s="578"/>
      <c r="M38" s="570"/>
      <c r="N38" s="578"/>
      <c r="O38" s="571"/>
      <c r="P38" s="579"/>
      <c r="Q38" s="578"/>
      <c r="R38" s="579"/>
      <c r="S38" s="578"/>
      <c r="T38" s="579"/>
      <c r="U38" s="578"/>
      <c r="V38" s="579"/>
      <c r="W38" s="578"/>
      <c r="X38" s="578"/>
      <c r="Y38" s="578"/>
      <c r="Z38" s="578"/>
      <c r="AA38" s="572"/>
      <c r="AB38" s="572"/>
      <c r="AC38" s="586"/>
      <c r="AD38" s="572"/>
      <c r="AE38" s="572"/>
      <c r="AF38" s="687"/>
    </row>
    <row r="39" spans="2:32" s="3" customFormat="1" ht="35.1" customHeight="1" x14ac:dyDescent="0.2">
      <c r="B39" s="476"/>
      <c r="C39" s="824" t="s">
        <v>335</v>
      </c>
      <c r="D39" s="824"/>
      <c r="E39" s="579"/>
      <c r="F39" s="579"/>
      <c r="G39" s="572"/>
      <c r="H39" s="579"/>
      <c r="I39" s="572"/>
      <c r="J39" s="578"/>
      <c r="K39" s="578"/>
      <c r="L39" s="578"/>
      <c r="M39" s="585"/>
      <c r="N39" s="578"/>
      <c r="O39" s="579"/>
      <c r="P39" s="579"/>
      <c r="Q39" s="578"/>
      <c r="R39" s="579"/>
      <c r="S39" s="578"/>
      <c r="T39" s="579"/>
      <c r="U39" s="578"/>
      <c r="V39" s="579"/>
      <c r="W39" s="578"/>
      <c r="X39" s="578"/>
      <c r="Y39" s="578"/>
      <c r="Z39" s="578"/>
      <c r="AA39" s="572"/>
      <c r="AB39" s="572"/>
      <c r="AC39" s="586"/>
      <c r="AD39" s="572"/>
      <c r="AE39" s="572"/>
      <c r="AF39" s="679"/>
    </row>
    <row r="40" spans="2:32" s="3" customFormat="1" ht="35.1" customHeight="1" x14ac:dyDescent="0.2">
      <c r="B40" s="476"/>
      <c r="C40" s="477" t="s">
        <v>275</v>
      </c>
      <c r="D40" s="478"/>
      <c r="E40" s="571">
        <v>0</v>
      </c>
      <c r="F40" s="571"/>
      <c r="G40" s="571">
        <v>0</v>
      </c>
      <c r="H40" s="571"/>
      <c r="I40" s="571">
        <v>0</v>
      </c>
      <c r="J40" s="571"/>
      <c r="K40" s="571">
        <v>0</v>
      </c>
      <c r="L40" s="571"/>
      <c r="M40" s="571">
        <v>0</v>
      </c>
      <c r="N40" s="571"/>
      <c r="O40" s="571">
        <v>0</v>
      </c>
      <c r="P40" s="571"/>
      <c r="Q40" s="571">
        <v>0</v>
      </c>
      <c r="R40" s="571"/>
      <c r="S40" s="571">
        <v>1</v>
      </c>
      <c r="T40" s="571"/>
      <c r="U40" s="571">
        <v>0</v>
      </c>
      <c r="V40" s="571"/>
      <c r="W40" s="571">
        <v>0</v>
      </c>
      <c r="X40" s="571"/>
      <c r="Y40" s="571">
        <v>0</v>
      </c>
      <c r="Z40" s="571"/>
      <c r="AA40" s="582">
        <f>SUM(E40:Z40)</f>
        <v>1</v>
      </c>
      <c r="AB40" s="582"/>
      <c r="AC40" s="583">
        <f>AA40/$AA$91*100</f>
        <v>1.7241379310344827</v>
      </c>
      <c r="AD40" s="587"/>
      <c r="AE40" s="572"/>
      <c r="AF40" s="679"/>
    </row>
    <row r="41" spans="2:32" s="3" customFormat="1" ht="35.1" customHeight="1" x14ac:dyDescent="0.2">
      <c r="B41" s="476"/>
      <c r="C41" s="477" t="s">
        <v>15</v>
      </c>
      <c r="D41" s="478"/>
      <c r="E41" s="571">
        <v>0</v>
      </c>
      <c r="F41" s="571"/>
      <c r="G41" s="571">
        <v>0</v>
      </c>
      <c r="H41" s="571"/>
      <c r="I41" s="571">
        <v>0</v>
      </c>
      <c r="J41" s="571"/>
      <c r="K41" s="571">
        <v>0</v>
      </c>
      <c r="L41" s="571"/>
      <c r="M41" s="571">
        <v>0</v>
      </c>
      <c r="N41" s="571"/>
      <c r="O41" s="571">
        <v>0</v>
      </c>
      <c r="P41" s="571"/>
      <c r="Q41" s="571">
        <v>0</v>
      </c>
      <c r="R41" s="571"/>
      <c r="S41" s="571">
        <v>39</v>
      </c>
      <c r="T41" s="571"/>
      <c r="U41" s="571">
        <v>0</v>
      </c>
      <c r="V41" s="571"/>
      <c r="W41" s="571">
        <v>0</v>
      </c>
      <c r="X41" s="571"/>
      <c r="Y41" s="571">
        <v>0</v>
      </c>
      <c r="Z41" s="571"/>
      <c r="AA41" s="582">
        <f>SUM(E41:Z41)</f>
        <v>39</v>
      </c>
      <c r="AB41" s="582"/>
      <c r="AC41" s="583">
        <f>AA41/$AA$92*100</f>
        <v>5.2443320872441704E-2</v>
      </c>
      <c r="AD41" s="587"/>
      <c r="AE41" s="572"/>
      <c r="AF41" s="687"/>
    </row>
    <row r="42" spans="2:32" s="3" customFormat="1" ht="35.1" customHeight="1" x14ac:dyDescent="0.2">
      <c r="B42" s="476"/>
      <c r="C42" s="477" t="s">
        <v>16</v>
      </c>
      <c r="D42" s="478"/>
      <c r="E42" s="571">
        <v>0</v>
      </c>
      <c r="F42" s="571"/>
      <c r="G42" s="571">
        <v>0</v>
      </c>
      <c r="H42" s="611"/>
      <c r="I42" s="571">
        <v>0</v>
      </c>
      <c r="J42" s="571"/>
      <c r="K42" s="571">
        <v>0</v>
      </c>
      <c r="L42" s="571"/>
      <c r="M42" s="571">
        <v>0</v>
      </c>
      <c r="N42" s="571"/>
      <c r="O42" s="571">
        <v>0</v>
      </c>
      <c r="P42" s="571"/>
      <c r="Q42" s="571">
        <v>0</v>
      </c>
      <c r="R42" s="571"/>
      <c r="S42" s="571">
        <v>624</v>
      </c>
      <c r="T42" s="571"/>
      <c r="U42" s="571">
        <v>0</v>
      </c>
      <c r="V42" s="571"/>
      <c r="W42" s="571">
        <v>0</v>
      </c>
      <c r="X42" s="571"/>
      <c r="Y42" s="571">
        <v>0</v>
      </c>
      <c r="Z42" s="571"/>
      <c r="AA42" s="582">
        <f>SUM(E42:Z42)</f>
        <v>624</v>
      </c>
      <c r="AB42" s="612" t="s">
        <v>62</v>
      </c>
      <c r="AC42" s="583">
        <f>AA42/$AA$93*100</f>
        <v>8.0187783339805748E-3</v>
      </c>
      <c r="AD42" s="587"/>
      <c r="AE42" s="572"/>
      <c r="AF42" s="679"/>
    </row>
    <row r="43" spans="2:32" s="3" customFormat="1" ht="35.1" customHeight="1" x14ac:dyDescent="0.2">
      <c r="C43" s="211"/>
      <c r="D43" s="216"/>
      <c r="E43" s="210"/>
      <c r="F43" s="210"/>
      <c r="G43" s="210"/>
      <c r="H43" s="210"/>
      <c r="I43" s="210"/>
      <c r="J43" s="210"/>
      <c r="K43" s="210"/>
      <c r="L43" s="210"/>
      <c r="M43" s="210"/>
      <c r="N43" s="210"/>
      <c r="O43" s="210"/>
      <c r="P43" s="210"/>
      <c r="Q43" s="210"/>
      <c r="R43" s="210"/>
      <c r="S43" s="210"/>
      <c r="T43" s="210"/>
      <c r="U43" s="210"/>
      <c r="V43" s="210"/>
      <c r="W43" s="210"/>
      <c r="X43" s="210"/>
      <c r="Y43" s="210"/>
      <c r="Z43" s="210"/>
      <c r="AB43" s="212"/>
      <c r="AC43" s="215" t="s">
        <v>84</v>
      </c>
      <c r="AD43" s="217"/>
      <c r="AF43" s="687"/>
    </row>
    <row r="44" spans="2:32" s="617" customFormat="1" ht="65.099999999999994" customHeight="1" x14ac:dyDescent="0.2">
      <c r="B44" s="613" t="s">
        <v>145</v>
      </c>
      <c r="C44" s="614"/>
      <c r="D44" s="613"/>
      <c r="E44" s="615"/>
      <c r="F44" s="615"/>
      <c r="G44" s="615"/>
      <c r="H44" s="615"/>
      <c r="I44" s="615"/>
      <c r="J44" s="615"/>
      <c r="K44" s="616"/>
      <c r="L44" s="616"/>
      <c r="M44" s="616"/>
      <c r="N44" s="616"/>
      <c r="O44" s="616"/>
      <c r="P44" s="616"/>
      <c r="Q44" s="616"/>
      <c r="R44" s="616"/>
      <c r="S44" s="616"/>
      <c r="T44" s="616"/>
      <c r="U44" s="616"/>
      <c r="V44" s="616"/>
      <c r="W44" s="616"/>
      <c r="X44" s="616"/>
      <c r="Y44" s="616"/>
      <c r="Z44" s="616"/>
      <c r="AF44" s="679"/>
    </row>
    <row r="45" spans="2:32" s="617" customFormat="1" ht="81.599999999999994" customHeight="1" x14ac:dyDescent="0.2">
      <c r="B45" s="842" t="s">
        <v>285</v>
      </c>
      <c r="C45" s="842"/>
      <c r="D45" s="842"/>
      <c r="E45" s="842"/>
      <c r="F45" s="842"/>
      <c r="G45" s="842"/>
      <c r="H45" s="842"/>
      <c r="I45" s="842"/>
      <c r="J45" s="842"/>
      <c r="K45" s="842"/>
      <c r="L45" s="842"/>
      <c r="M45" s="842"/>
      <c r="N45" s="842"/>
      <c r="O45" s="842"/>
      <c r="P45" s="842"/>
      <c r="Q45" s="842"/>
      <c r="R45" s="842"/>
      <c r="S45" s="842"/>
      <c r="T45" s="842"/>
      <c r="U45" s="842"/>
      <c r="V45" s="842"/>
      <c r="W45" s="842"/>
      <c r="X45" s="842"/>
      <c r="Y45" s="842"/>
      <c r="Z45" s="842"/>
      <c r="AA45" s="842"/>
      <c r="AB45" s="842"/>
      <c r="AC45" s="842"/>
      <c r="AD45" s="842"/>
    </row>
    <row r="46" spans="2:32" s="617" customFormat="1" ht="65.099999999999994" customHeight="1" x14ac:dyDescent="0.2">
      <c r="B46" s="842">
        <v>2025</v>
      </c>
      <c r="C46" s="842"/>
      <c r="D46" s="842"/>
      <c r="E46" s="842"/>
      <c r="F46" s="842"/>
      <c r="G46" s="842"/>
      <c r="H46" s="842"/>
      <c r="I46" s="842"/>
      <c r="J46" s="842"/>
      <c r="K46" s="842"/>
      <c r="L46" s="842"/>
      <c r="M46" s="842"/>
      <c r="N46" s="842"/>
      <c r="O46" s="842"/>
      <c r="P46" s="842"/>
      <c r="Q46" s="842"/>
      <c r="R46" s="842"/>
      <c r="S46" s="842"/>
      <c r="T46" s="842"/>
      <c r="U46" s="842"/>
      <c r="V46" s="842"/>
      <c r="W46" s="842"/>
      <c r="X46" s="842"/>
      <c r="Y46" s="842"/>
      <c r="Z46" s="842"/>
      <c r="AA46" s="842"/>
      <c r="AB46" s="842"/>
      <c r="AC46" s="842"/>
      <c r="AD46" s="842"/>
    </row>
    <row r="47" spans="2:32" s="207" customFormat="1" ht="27" customHeight="1" x14ac:dyDescent="0.2">
      <c r="B47" s="208"/>
      <c r="C47" s="218" t="s">
        <v>263</v>
      </c>
      <c r="D47" s="208"/>
      <c r="E47" s="208"/>
      <c r="F47" s="208"/>
      <c r="G47" s="208"/>
      <c r="H47" s="208"/>
      <c r="I47" s="208"/>
      <c r="J47" s="208"/>
      <c r="K47" s="208"/>
      <c r="L47" s="208"/>
      <c r="M47" s="208"/>
      <c r="N47" s="208"/>
      <c r="O47" s="208"/>
      <c r="P47" s="208"/>
      <c r="Q47" s="208"/>
      <c r="R47" s="208"/>
      <c r="S47" s="208"/>
      <c r="T47" s="208"/>
      <c r="U47" s="208"/>
      <c r="V47" s="208"/>
      <c r="W47" s="208"/>
      <c r="X47" s="208"/>
      <c r="Y47" s="208"/>
      <c r="Z47" s="208"/>
      <c r="AA47" s="208"/>
      <c r="AB47" s="208"/>
      <c r="AC47" s="208"/>
      <c r="AD47" s="208"/>
    </row>
    <row r="48" spans="2:32" s="3" customFormat="1" ht="64.900000000000006" customHeight="1" x14ac:dyDescent="0.2">
      <c r="B48" s="835" t="s">
        <v>239</v>
      </c>
      <c r="C48" s="835"/>
      <c r="D48" s="835"/>
      <c r="E48" s="836" t="s">
        <v>192</v>
      </c>
      <c r="F48" s="837"/>
      <c r="G48" s="837"/>
      <c r="H48" s="837"/>
      <c r="I48" s="837"/>
      <c r="J48" s="837"/>
      <c r="K48" s="837"/>
      <c r="L48" s="837"/>
      <c r="M48" s="837"/>
      <c r="N48" s="837"/>
      <c r="O48" s="837"/>
      <c r="P48" s="837"/>
      <c r="Q48" s="837"/>
      <c r="R48" s="837"/>
      <c r="S48" s="837"/>
      <c r="T48" s="837"/>
      <c r="U48" s="837"/>
      <c r="V48" s="837"/>
      <c r="W48" s="837"/>
      <c r="X48" s="837"/>
      <c r="Y48" s="837"/>
      <c r="Z48" s="838"/>
      <c r="AA48" s="839" t="s">
        <v>86</v>
      </c>
      <c r="AB48" s="840"/>
      <c r="AC48" s="840"/>
      <c r="AD48" s="840"/>
    </row>
    <row r="49" spans="2:32" s="82" customFormat="1" ht="158.25" customHeight="1" x14ac:dyDescent="0.2">
      <c r="B49" s="835"/>
      <c r="C49" s="835"/>
      <c r="D49" s="835"/>
      <c r="E49" s="841" t="s">
        <v>228</v>
      </c>
      <c r="F49" s="832"/>
      <c r="G49" s="832" t="s">
        <v>188</v>
      </c>
      <c r="H49" s="834"/>
      <c r="I49" s="834" t="s">
        <v>240</v>
      </c>
      <c r="J49" s="834"/>
      <c r="K49" s="834" t="s">
        <v>89</v>
      </c>
      <c r="L49" s="834"/>
      <c r="M49" s="834" t="s">
        <v>109</v>
      </c>
      <c r="N49" s="834"/>
      <c r="O49" s="834" t="s">
        <v>264</v>
      </c>
      <c r="P49" s="834"/>
      <c r="Q49" s="834" t="s">
        <v>273</v>
      </c>
      <c r="R49" s="834"/>
      <c r="S49" s="834" t="s">
        <v>189</v>
      </c>
      <c r="T49" s="834"/>
      <c r="U49" s="834" t="s">
        <v>19</v>
      </c>
      <c r="V49" s="834"/>
      <c r="W49" s="831" t="s">
        <v>46</v>
      </c>
      <c r="X49" s="832"/>
      <c r="Y49" s="831" t="s">
        <v>297</v>
      </c>
      <c r="Z49" s="832"/>
      <c r="AA49" s="833" t="s">
        <v>63</v>
      </c>
      <c r="AB49" s="833"/>
      <c r="AC49" s="833" t="s">
        <v>5</v>
      </c>
      <c r="AD49" s="833"/>
    </row>
    <row r="50" spans="2:32" s="3" customFormat="1" ht="21.75" customHeight="1" x14ac:dyDescent="0.2">
      <c r="B50" s="476"/>
      <c r="C50" s="477"/>
      <c r="D50" s="478"/>
      <c r="E50" s="210"/>
      <c r="F50" s="210"/>
      <c r="G50" s="210"/>
      <c r="H50" s="210"/>
      <c r="I50" s="210"/>
      <c r="J50" s="210"/>
      <c r="K50" s="210"/>
      <c r="L50" s="210"/>
      <c r="M50" s="210"/>
      <c r="N50" s="210"/>
      <c r="O50" s="210"/>
      <c r="P50" s="210"/>
      <c r="Q50" s="210"/>
      <c r="R50" s="210"/>
      <c r="S50" s="210"/>
      <c r="T50" s="210"/>
      <c r="U50" s="210"/>
      <c r="V50" s="210"/>
      <c r="W50" s="210"/>
      <c r="X50" s="210"/>
      <c r="Y50" s="210"/>
      <c r="Z50" s="210"/>
      <c r="AA50" s="212"/>
      <c r="AB50" s="212"/>
      <c r="AC50" s="193"/>
      <c r="AD50" s="217"/>
    </row>
    <row r="51" spans="2:32" s="82" customFormat="1" ht="35.1" customHeight="1" x14ac:dyDescent="0.2">
      <c r="B51" s="476"/>
      <c r="C51" s="823" t="s">
        <v>122</v>
      </c>
      <c r="D51" s="823"/>
      <c r="E51" s="578"/>
      <c r="F51" s="578"/>
      <c r="G51" s="578"/>
      <c r="H51" s="578"/>
      <c r="I51" s="578"/>
      <c r="J51" s="578"/>
      <c r="K51" s="578"/>
      <c r="L51" s="578"/>
      <c r="M51" s="572"/>
      <c r="N51" s="578"/>
      <c r="O51" s="572"/>
      <c r="P51" s="579"/>
      <c r="Q51" s="578"/>
      <c r="R51" s="579"/>
      <c r="S51" s="578"/>
      <c r="T51" s="579"/>
      <c r="U51" s="578"/>
      <c r="V51" s="579"/>
      <c r="W51" s="578"/>
      <c r="X51" s="578"/>
      <c r="Y51" s="578"/>
      <c r="Z51" s="578"/>
      <c r="AA51" s="582"/>
      <c r="AB51" s="572"/>
      <c r="AC51" s="586"/>
      <c r="AD51" s="587"/>
      <c r="AE51" s="592"/>
      <c r="AF51" s="687"/>
    </row>
    <row r="52" spans="2:32" s="82" customFormat="1" ht="35.1" customHeight="1" x14ac:dyDescent="0.2">
      <c r="B52" s="476"/>
      <c r="C52" s="824" t="s">
        <v>337</v>
      </c>
      <c r="D52" s="824"/>
      <c r="E52" s="578"/>
      <c r="F52" s="578"/>
      <c r="G52" s="578"/>
      <c r="H52" s="578"/>
      <c r="I52" s="578"/>
      <c r="J52" s="578"/>
      <c r="K52" s="578"/>
      <c r="L52" s="578"/>
      <c r="M52" s="585"/>
      <c r="N52" s="578"/>
      <c r="O52" s="579"/>
      <c r="P52" s="579"/>
      <c r="Q52" s="578"/>
      <c r="R52" s="579"/>
      <c r="S52" s="578"/>
      <c r="T52" s="579"/>
      <c r="U52" s="578"/>
      <c r="V52" s="579"/>
      <c r="W52" s="578"/>
      <c r="X52" s="578"/>
      <c r="Y52" s="578"/>
      <c r="Z52" s="578"/>
      <c r="AA52" s="582"/>
      <c r="AB52" s="572"/>
      <c r="AC52" s="586"/>
      <c r="AD52" s="587"/>
      <c r="AE52" s="592"/>
      <c r="AF52" s="679"/>
    </row>
    <row r="53" spans="2:32" s="53" customFormat="1" ht="35.1" customHeight="1" x14ac:dyDescent="0.2">
      <c r="B53" s="476"/>
      <c r="C53" s="477" t="s">
        <v>275</v>
      </c>
      <c r="D53" s="478"/>
      <c r="E53" s="571">
        <v>0</v>
      </c>
      <c r="F53" s="571"/>
      <c r="G53" s="571">
        <v>0</v>
      </c>
      <c r="H53" s="571"/>
      <c r="I53" s="571">
        <v>7</v>
      </c>
      <c r="J53" s="571"/>
      <c r="K53" s="571">
        <v>0</v>
      </c>
      <c r="L53" s="571"/>
      <c r="M53" s="571">
        <v>0</v>
      </c>
      <c r="N53" s="571"/>
      <c r="O53" s="571">
        <v>2</v>
      </c>
      <c r="P53" s="571"/>
      <c r="Q53" s="571">
        <v>0</v>
      </c>
      <c r="R53" s="571"/>
      <c r="S53" s="571">
        <v>1</v>
      </c>
      <c r="T53" s="571"/>
      <c r="U53" s="571">
        <v>0</v>
      </c>
      <c r="V53" s="571"/>
      <c r="W53" s="571">
        <v>0</v>
      </c>
      <c r="X53" s="571"/>
      <c r="Y53" s="571">
        <v>0</v>
      </c>
      <c r="Z53" s="571"/>
      <c r="AA53" s="582">
        <f>SUM(E53:Z53)</f>
        <v>10</v>
      </c>
      <c r="AB53" s="582"/>
      <c r="AC53" s="583">
        <f>AA53/$AA$91*100</f>
        <v>17.241379310344829</v>
      </c>
      <c r="AD53" s="587"/>
      <c r="AE53" s="538"/>
      <c r="AF53" s="679"/>
    </row>
    <row r="54" spans="2:32" s="53" customFormat="1" ht="35.1" customHeight="1" x14ac:dyDescent="0.2">
      <c r="B54" s="476"/>
      <c r="C54" s="477" t="s">
        <v>15</v>
      </c>
      <c r="D54" s="478"/>
      <c r="E54" s="571">
        <v>0</v>
      </c>
      <c r="F54" s="571"/>
      <c r="G54" s="571">
        <v>0</v>
      </c>
      <c r="H54" s="571"/>
      <c r="I54" s="571">
        <v>807</v>
      </c>
      <c r="J54" s="571"/>
      <c r="K54" s="571">
        <v>0</v>
      </c>
      <c r="L54" s="571"/>
      <c r="M54" s="571">
        <v>0</v>
      </c>
      <c r="N54" s="571"/>
      <c r="O54" s="571">
        <v>72</v>
      </c>
      <c r="P54" s="571"/>
      <c r="Q54" s="571">
        <v>0</v>
      </c>
      <c r="R54" s="571"/>
      <c r="S54" s="571">
        <v>336</v>
      </c>
      <c r="T54" s="571"/>
      <c r="U54" s="571">
        <v>0</v>
      </c>
      <c r="V54" s="571"/>
      <c r="W54" s="571">
        <v>0</v>
      </c>
      <c r="X54" s="571"/>
      <c r="Y54" s="571">
        <v>0</v>
      </c>
      <c r="Z54" s="571"/>
      <c r="AA54" s="582">
        <f t="shared" ref="AA54:AA55" si="0">SUM(E54:Z54)</f>
        <v>1215</v>
      </c>
      <c r="AB54" s="582"/>
      <c r="AC54" s="583">
        <f>AA54/$AA$92*100</f>
        <v>1.6338111502568378</v>
      </c>
      <c r="AD54" s="587"/>
      <c r="AE54" s="538"/>
      <c r="AF54" s="687"/>
    </row>
    <row r="55" spans="2:32" s="53" customFormat="1" ht="35.1" customHeight="1" x14ac:dyDescent="0.2">
      <c r="B55" s="476"/>
      <c r="C55" s="477" t="s">
        <v>16</v>
      </c>
      <c r="D55" s="478"/>
      <c r="E55" s="571">
        <v>0</v>
      </c>
      <c r="F55" s="571"/>
      <c r="G55" s="571">
        <v>72064</v>
      </c>
      <c r="H55" s="571"/>
      <c r="I55" s="571">
        <v>64376</v>
      </c>
      <c r="J55" s="571"/>
      <c r="K55" s="571">
        <v>0</v>
      </c>
      <c r="L55" s="571"/>
      <c r="M55" s="571">
        <v>0</v>
      </c>
      <c r="N55" s="571"/>
      <c r="O55" s="571">
        <v>1728</v>
      </c>
      <c r="P55" s="571"/>
      <c r="Q55" s="571">
        <v>0</v>
      </c>
      <c r="R55" s="571"/>
      <c r="S55" s="571">
        <v>5376</v>
      </c>
      <c r="T55" s="571"/>
      <c r="U55" s="571">
        <v>0</v>
      </c>
      <c r="V55" s="571"/>
      <c r="W55" s="571">
        <v>0</v>
      </c>
      <c r="X55" s="571"/>
      <c r="Y55" s="571">
        <v>0</v>
      </c>
      <c r="Z55" s="571"/>
      <c r="AA55" s="689">
        <f t="shared" si="0"/>
        <v>143544</v>
      </c>
      <c r="AB55" s="582"/>
      <c r="AC55" s="583">
        <f>AA55/$AA$93*100</f>
        <v>1.8446274313668392</v>
      </c>
      <c r="AD55" s="587"/>
      <c r="AE55" s="538"/>
      <c r="AF55" s="679"/>
    </row>
    <row r="56" spans="2:32" s="82" customFormat="1" ht="35.1" customHeight="1" x14ac:dyDescent="0.2">
      <c r="B56" s="476"/>
      <c r="C56" s="824" t="s">
        <v>336</v>
      </c>
      <c r="D56" s="824"/>
      <c r="E56" s="578"/>
      <c r="F56" s="578"/>
      <c r="G56" s="578"/>
      <c r="H56" s="578"/>
      <c r="I56" s="578"/>
      <c r="J56" s="578"/>
      <c r="K56" s="578"/>
      <c r="L56" s="578"/>
      <c r="M56" s="585"/>
      <c r="N56" s="578"/>
      <c r="O56" s="579"/>
      <c r="P56" s="579"/>
      <c r="Q56" s="578"/>
      <c r="R56" s="579"/>
      <c r="S56" s="578"/>
      <c r="T56" s="579"/>
      <c r="U56" s="578"/>
      <c r="V56" s="579"/>
      <c r="W56" s="578"/>
      <c r="X56" s="578"/>
      <c r="Y56" s="578"/>
      <c r="Z56" s="578"/>
      <c r="AA56" s="582"/>
      <c r="AB56" s="572"/>
      <c r="AC56" s="586"/>
      <c r="AD56" s="587"/>
      <c r="AE56" s="592"/>
      <c r="AF56" s="679"/>
    </row>
    <row r="57" spans="2:32" s="53" customFormat="1" ht="35.1" customHeight="1" x14ac:dyDescent="0.2">
      <c r="B57" s="476"/>
      <c r="C57" s="477" t="s">
        <v>275</v>
      </c>
      <c r="D57" s="478"/>
      <c r="E57" s="571">
        <v>0</v>
      </c>
      <c r="F57" s="571"/>
      <c r="G57" s="571">
        <v>0</v>
      </c>
      <c r="H57" s="571"/>
      <c r="I57" s="571">
        <v>1</v>
      </c>
      <c r="J57" s="571"/>
      <c r="K57" s="571">
        <v>0</v>
      </c>
      <c r="L57" s="571"/>
      <c r="M57" s="571">
        <v>0</v>
      </c>
      <c r="N57" s="571"/>
      <c r="O57" s="571">
        <v>0</v>
      </c>
      <c r="P57" s="571"/>
      <c r="Q57" s="571">
        <v>0</v>
      </c>
      <c r="R57" s="571"/>
      <c r="S57" s="571">
        <v>7</v>
      </c>
      <c r="T57" s="571"/>
      <c r="U57" s="571">
        <v>0</v>
      </c>
      <c r="V57" s="571"/>
      <c r="W57" s="571">
        <v>9</v>
      </c>
      <c r="X57" s="571"/>
      <c r="Y57" s="571">
        <v>1</v>
      </c>
      <c r="Z57" s="571"/>
      <c r="AA57" s="582">
        <f>SUM(E57:Z57)</f>
        <v>18</v>
      </c>
      <c r="AB57" s="582"/>
      <c r="AC57" s="583">
        <f>AA57/$AA$91*100</f>
        <v>31.03448275862069</v>
      </c>
      <c r="AD57" s="587"/>
      <c r="AE57" s="538"/>
      <c r="AF57" s="679"/>
    </row>
    <row r="58" spans="2:32" s="53" customFormat="1" ht="35.1" customHeight="1" x14ac:dyDescent="0.2">
      <c r="B58" s="476"/>
      <c r="C58" s="477" t="s">
        <v>15</v>
      </c>
      <c r="D58" s="478"/>
      <c r="E58" s="571">
        <v>0</v>
      </c>
      <c r="F58" s="571"/>
      <c r="G58" s="571">
        <v>0</v>
      </c>
      <c r="H58" s="571"/>
      <c r="I58" s="571">
        <v>890</v>
      </c>
      <c r="J58" s="571"/>
      <c r="K58" s="571">
        <v>0</v>
      </c>
      <c r="L58" s="571"/>
      <c r="M58" s="571">
        <v>0</v>
      </c>
      <c r="N58" s="571"/>
      <c r="O58" s="571">
        <v>0</v>
      </c>
      <c r="P58" s="571"/>
      <c r="Q58" s="571">
        <v>0</v>
      </c>
      <c r="R58" s="571"/>
      <c r="S58" s="571">
        <v>46898</v>
      </c>
      <c r="T58" s="571"/>
      <c r="U58" s="571">
        <v>0</v>
      </c>
      <c r="V58" s="571"/>
      <c r="W58" s="571">
        <v>20787</v>
      </c>
      <c r="X58" s="571"/>
      <c r="Y58" s="571">
        <v>900</v>
      </c>
      <c r="Z58" s="571"/>
      <c r="AA58" s="582">
        <f t="shared" ref="AA58:AA59" si="1">SUM(E58:Z58)</f>
        <v>69475</v>
      </c>
      <c r="AB58" s="582"/>
      <c r="AC58" s="583">
        <f>AA58/$AA$92*100</f>
        <v>93.423069682381737</v>
      </c>
      <c r="AD58" s="587"/>
      <c r="AE58" s="538"/>
      <c r="AF58" s="687"/>
    </row>
    <row r="59" spans="2:32" s="53" customFormat="1" ht="35.1" customHeight="1" x14ac:dyDescent="0.2">
      <c r="B59" s="476"/>
      <c r="C59" s="477" t="s">
        <v>16</v>
      </c>
      <c r="D59" s="478"/>
      <c r="E59" s="571">
        <v>0</v>
      </c>
      <c r="F59" s="571"/>
      <c r="G59" s="571">
        <v>0</v>
      </c>
      <c r="H59" s="571"/>
      <c r="I59" s="571">
        <v>56960</v>
      </c>
      <c r="J59" s="571"/>
      <c r="K59" s="571">
        <v>0</v>
      </c>
      <c r="L59" s="571"/>
      <c r="M59" s="571">
        <v>0</v>
      </c>
      <c r="N59" s="571"/>
      <c r="O59" s="571">
        <v>0</v>
      </c>
      <c r="P59" s="571"/>
      <c r="Q59" s="571">
        <v>0</v>
      </c>
      <c r="R59" s="571"/>
      <c r="S59" s="571">
        <v>6062096</v>
      </c>
      <c r="T59" s="571"/>
      <c r="U59" s="571">
        <v>0</v>
      </c>
      <c r="V59" s="571"/>
      <c r="W59" s="571">
        <v>1317426</v>
      </c>
      <c r="X59" s="571"/>
      <c r="Y59" s="571">
        <v>14400</v>
      </c>
      <c r="Z59" s="571"/>
      <c r="AA59" s="689">
        <f t="shared" si="1"/>
        <v>7450882</v>
      </c>
      <c r="AB59" s="582"/>
      <c r="AC59" s="583">
        <f>AA59/$AA$93*100</f>
        <v>95.748351202958105</v>
      </c>
      <c r="AD59" s="587"/>
      <c r="AE59" s="538"/>
      <c r="AF59" s="679"/>
    </row>
    <row r="60" spans="2:32" s="82" customFormat="1" ht="35.1" customHeight="1" x14ac:dyDescent="0.2">
      <c r="B60" s="476"/>
      <c r="C60" s="823" t="s">
        <v>244</v>
      </c>
      <c r="D60" s="823"/>
      <c r="E60" s="578"/>
      <c r="F60" s="578"/>
      <c r="G60" s="578"/>
      <c r="H60" s="578"/>
      <c r="I60" s="578"/>
      <c r="J60" s="578"/>
      <c r="K60" s="578"/>
      <c r="L60" s="578"/>
      <c r="M60" s="572"/>
      <c r="N60" s="578"/>
      <c r="O60" s="572"/>
      <c r="P60" s="579"/>
      <c r="Q60" s="578"/>
      <c r="R60" s="579"/>
      <c r="S60" s="578"/>
      <c r="T60" s="579"/>
      <c r="U60" s="578"/>
      <c r="V60" s="579"/>
      <c r="W60" s="578"/>
      <c r="X60" s="578"/>
      <c r="Y60" s="578"/>
      <c r="Z60" s="578"/>
      <c r="AA60" s="582"/>
      <c r="AB60" s="572"/>
      <c r="AC60" s="586"/>
      <c r="AD60" s="587"/>
      <c r="AE60" s="592"/>
      <c r="AF60" s="679"/>
    </row>
    <row r="61" spans="2:32" s="82" customFormat="1" ht="35.1" customHeight="1" x14ac:dyDescent="0.2">
      <c r="B61" s="476"/>
      <c r="C61" s="824" t="s">
        <v>269</v>
      </c>
      <c r="D61" s="824"/>
      <c r="E61" s="578"/>
      <c r="F61" s="578"/>
      <c r="G61" s="578"/>
      <c r="H61" s="578"/>
      <c r="I61" s="578"/>
      <c r="J61" s="578"/>
      <c r="K61" s="578"/>
      <c r="L61" s="578"/>
      <c r="M61" s="585"/>
      <c r="N61" s="578"/>
      <c r="O61" s="579"/>
      <c r="P61" s="579"/>
      <c r="Q61" s="578"/>
      <c r="R61" s="579"/>
      <c r="S61" s="578"/>
      <c r="T61" s="579"/>
      <c r="U61" s="578"/>
      <c r="V61" s="579"/>
      <c r="W61" s="578"/>
      <c r="X61" s="578"/>
      <c r="Y61" s="578"/>
      <c r="Z61" s="578"/>
      <c r="AA61" s="582"/>
      <c r="AB61" s="572"/>
      <c r="AC61" s="586"/>
      <c r="AD61" s="587"/>
      <c r="AE61" s="592"/>
    </row>
    <row r="62" spans="2:32" s="53" customFormat="1" ht="35.1" customHeight="1" x14ac:dyDescent="0.2">
      <c r="B62" s="476"/>
      <c r="C62" s="477" t="s">
        <v>275</v>
      </c>
      <c r="D62" s="478"/>
      <c r="E62" s="571">
        <v>0</v>
      </c>
      <c r="F62" s="571"/>
      <c r="G62" s="571">
        <v>1</v>
      </c>
      <c r="H62" s="571"/>
      <c r="I62" s="571">
        <v>0</v>
      </c>
      <c r="J62" s="571"/>
      <c r="K62" s="571">
        <v>0</v>
      </c>
      <c r="L62" s="571"/>
      <c r="M62" s="571">
        <v>0</v>
      </c>
      <c r="N62" s="571"/>
      <c r="O62" s="571">
        <v>0</v>
      </c>
      <c r="P62" s="571"/>
      <c r="Q62" s="571">
        <v>0</v>
      </c>
      <c r="R62" s="571"/>
      <c r="S62" s="571">
        <v>0</v>
      </c>
      <c r="T62" s="571"/>
      <c r="U62" s="571">
        <v>0</v>
      </c>
      <c r="V62" s="571"/>
      <c r="W62" s="571">
        <v>0</v>
      </c>
      <c r="X62" s="571"/>
      <c r="Y62" s="571">
        <v>0</v>
      </c>
      <c r="Z62" s="571"/>
      <c r="AA62" s="582">
        <f>SUM(E62:Z62)</f>
        <v>1</v>
      </c>
      <c r="AB62" s="582"/>
      <c r="AC62" s="583">
        <f>AA62/$AA$91*100</f>
        <v>1.7241379310344827</v>
      </c>
      <c r="AD62" s="587"/>
      <c r="AE62" s="538"/>
    </row>
    <row r="63" spans="2:32" s="53" customFormat="1" ht="35.1" customHeight="1" x14ac:dyDescent="0.2">
      <c r="B63" s="476"/>
      <c r="C63" s="477" t="s">
        <v>15</v>
      </c>
      <c r="D63" s="478"/>
      <c r="E63" s="571">
        <v>0</v>
      </c>
      <c r="F63" s="571"/>
      <c r="G63" s="571">
        <v>250</v>
      </c>
      <c r="H63" s="571"/>
      <c r="I63" s="571">
        <v>0</v>
      </c>
      <c r="J63" s="571"/>
      <c r="K63" s="571">
        <v>0</v>
      </c>
      <c r="L63" s="571"/>
      <c r="M63" s="571">
        <v>0</v>
      </c>
      <c r="N63" s="571"/>
      <c r="O63" s="571">
        <v>0</v>
      </c>
      <c r="P63" s="571"/>
      <c r="Q63" s="571">
        <v>0</v>
      </c>
      <c r="R63" s="571"/>
      <c r="S63" s="571">
        <v>0</v>
      </c>
      <c r="T63" s="571"/>
      <c r="U63" s="571">
        <v>0</v>
      </c>
      <c r="V63" s="571"/>
      <c r="W63" s="571">
        <v>0</v>
      </c>
      <c r="X63" s="571"/>
      <c r="Y63" s="571">
        <v>0</v>
      </c>
      <c r="Z63" s="571"/>
      <c r="AA63" s="582">
        <f>SUM(E63:Z63)</f>
        <v>250</v>
      </c>
      <c r="AB63" s="582"/>
      <c r="AC63" s="583">
        <f>AA63/$AA$92*100</f>
        <v>0.33617513379770325</v>
      </c>
      <c r="AD63" s="587"/>
      <c r="AE63" s="538"/>
    </row>
    <row r="64" spans="2:32" s="53" customFormat="1" ht="35.1" customHeight="1" x14ac:dyDescent="0.2">
      <c r="B64" s="476"/>
      <c r="C64" s="477" t="s">
        <v>16</v>
      </c>
      <c r="D64" s="478"/>
      <c r="E64" s="571">
        <v>0</v>
      </c>
      <c r="F64" s="611"/>
      <c r="G64" s="571">
        <v>26000</v>
      </c>
      <c r="H64" s="571"/>
      <c r="I64" s="571">
        <v>0</v>
      </c>
      <c r="J64" s="571"/>
      <c r="K64" s="571">
        <v>0</v>
      </c>
      <c r="L64" s="571"/>
      <c r="M64" s="571">
        <v>0</v>
      </c>
      <c r="N64" s="571"/>
      <c r="O64" s="571">
        <v>0</v>
      </c>
      <c r="P64" s="571"/>
      <c r="Q64" s="571">
        <v>0</v>
      </c>
      <c r="R64" s="571"/>
      <c r="S64" s="571">
        <v>0</v>
      </c>
      <c r="T64" s="571"/>
      <c r="U64" s="571">
        <v>0</v>
      </c>
      <c r="V64" s="571"/>
      <c r="W64" s="571">
        <v>0</v>
      </c>
      <c r="X64" s="571"/>
      <c r="Y64" s="571">
        <v>0</v>
      </c>
      <c r="Z64" s="571"/>
      <c r="AA64" s="582">
        <f>SUM(E64:Z64)</f>
        <v>26000</v>
      </c>
      <c r="AB64" s="582" t="s">
        <v>62</v>
      </c>
      <c r="AC64" s="583">
        <f>AA64/$AA$93*100</f>
        <v>0.33411576391585734</v>
      </c>
      <c r="AD64" s="587"/>
      <c r="AE64" s="538"/>
    </row>
    <row r="65" spans="2:32" s="82" customFormat="1" ht="35.1" customHeight="1" x14ac:dyDescent="0.2">
      <c r="B65" s="476"/>
      <c r="C65" s="824" t="s">
        <v>222</v>
      </c>
      <c r="D65" s="824"/>
      <c r="E65" s="578"/>
      <c r="F65" s="578"/>
      <c r="G65" s="578"/>
      <c r="H65" s="578"/>
      <c r="I65" s="578"/>
      <c r="J65" s="578"/>
      <c r="K65" s="578"/>
      <c r="L65" s="578"/>
      <c r="M65" s="585"/>
      <c r="N65" s="578"/>
      <c r="O65" s="579"/>
      <c r="P65" s="579"/>
      <c r="Q65" s="578"/>
      <c r="R65" s="579"/>
      <c r="S65" s="578"/>
      <c r="T65" s="579"/>
      <c r="U65" s="578"/>
      <c r="V65" s="579"/>
      <c r="W65" s="578"/>
      <c r="X65" s="578"/>
      <c r="Y65" s="578"/>
      <c r="Z65" s="578"/>
      <c r="AA65" s="582"/>
      <c r="AB65" s="572"/>
      <c r="AC65" s="586"/>
      <c r="AD65" s="587"/>
      <c r="AE65" s="592"/>
    </row>
    <row r="66" spans="2:32" s="53" customFormat="1" ht="35.1" customHeight="1" x14ac:dyDescent="0.2">
      <c r="B66" s="476"/>
      <c r="C66" s="477" t="s">
        <v>275</v>
      </c>
      <c r="D66" s="478"/>
      <c r="E66" s="571">
        <v>0</v>
      </c>
      <c r="F66" s="571"/>
      <c r="G66" s="571">
        <v>0</v>
      </c>
      <c r="H66" s="571"/>
      <c r="I66" s="571">
        <v>0</v>
      </c>
      <c r="J66" s="571"/>
      <c r="K66" s="571">
        <v>0</v>
      </c>
      <c r="L66" s="571"/>
      <c r="M66" s="571">
        <v>0</v>
      </c>
      <c r="N66" s="571"/>
      <c r="O66" s="571">
        <v>0</v>
      </c>
      <c r="P66" s="571"/>
      <c r="Q66" s="571">
        <v>0</v>
      </c>
      <c r="R66" s="571"/>
      <c r="S66" s="571">
        <v>2</v>
      </c>
      <c r="T66" s="571"/>
      <c r="U66" s="571">
        <v>1</v>
      </c>
      <c r="V66" s="571"/>
      <c r="W66" s="571">
        <v>0</v>
      </c>
      <c r="X66" s="571"/>
      <c r="Y66" s="571">
        <v>0</v>
      </c>
      <c r="Z66" s="571"/>
      <c r="AA66" s="582">
        <f>SUM(E66:Z66)</f>
        <v>3</v>
      </c>
      <c r="AB66" s="582"/>
      <c r="AC66" s="583">
        <f>AA66/$AA$91*100</f>
        <v>5.1724137931034484</v>
      </c>
      <c r="AD66" s="587"/>
      <c r="AE66" s="538"/>
    </row>
    <row r="67" spans="2:32" s="53" customFormat="1" ht="35.1" customHeight="1" x14ac:dyDescent="0.2">
      <c r="B67" s="476"/>
      <c r="C67" s="477" t="s">
        <v>15</v>
      </c>
      <c r="D67" s="478"/>
      <c r="E67" s="571">
        <v>0</v>
      </c>
      <c r="F67" s="571"/>
      <c r="G67" s="571">
        <v>0</v>
      </c>
      <c r="H67" s="571"/>
      <c r="I67" s="571">
        <v>0</v>
      </c>
      <c r="J67" s="571"/>
      <c r="K67" s="571">
        <v>0</v>
      </c>
      <c r="L67" s="571"/>
      <c r="M67" s="571">
        <v>0</v>
      </c>
      <c r="N67" s="571"/>
      <c r="O67" s="571">
        <v>0</v>
      </c>
      <c r="P67" s="571"/>
      <c r="Q67" s="571">
        <v>0</v>
      </c>
      <c r="R67" s="571"/>
      <c r="S67" s="571">
        <v>54</v>
      </c>
      <c r="T67" s="571"/>
      <c r="U67" s="571">
        <v>18</v>
      </c>
      <c r="V67" s="571"/>
      <c r="W67" s="571">
        <v>0</v>
      </c>
      <c r="X67" s="571"/>
      <c r="Y67" s="571">
        <v>0</v>
      </c>
      <c r="Z67" s="571"/>
      <c r="AA67" s="582">
        <f>SUM(E67:Z67)</f>
        <v>72</v>
      </c>
      <c r="AB67" s="582"/>
      <c r="AC67" s="583">
        <f>AA67/$AA$92*100</f>
        <v>9.6818438533738532E-2</v>
      </c>
      <c r="AD67" s="587"/>
      <c r="AE67" s="538"/>
    </row>
    <row r="68" spans="2:32" s="53" customFormat="1" ht="35.1" customHeight="1" x14ac:dyDescent="0.2">
      <c r="B68" s="476"/>
      <c r="C68" s="477" t="s">
        <v>16</v>
      </c>
      <c r="D68" s="478"/>
      <c r="E68" s="571">
        <v>0</v>
      </c>
      <c r="F68" s="573"/>
      <c r="G68" s="571">
        <v>0</v>
      </c>
      <c r="H68" s="571"/>
      <c r="I68" s="571">
        <v>0</v>
      </c>
      <c r="J68" s="571"/>
      <c r="K68" s="571">
        <v>0</v>
      </c>
      <c r="L68" s="571"/>
      <c r="M68" s="571">
        <v>0</v>
      </c>
      <c r="N68" s="571"/>
      <c r="O68" s="571">
        <v>0</v>
      </c>
      <c r="P68" s="571"/>
      <c r="Q68" s="571">
        <v>0</v>
      </c>
      <c r="R68" s="571"/>
      <c r="S68" s="571">
        <v>648</v>
      </c>
      <c r="T68" s="571"/>
      <c r="U68" s="571">
        <v>432</v>
      </c>
      <c r="V68" s="571"/>
      <c r="W68" s="571">
        <v>0</v>
      </c>
      <c r="X68" s="571"/>
      <c r="Y68" s="571">
        <v>0</v>
      </c>
      <c r="Z68" s="571"/>
      <c r="AA68" s="582">
        <f>SUM(E68:Z68)</f>
        <v>1080</v>
      </c>
      <c r="AB68" s="582"/>
      <c r="AC68" s="583">
        <f>AA68/$AA$93*100</f>
        <v>1.3878654808812535E-2</v>
      </c>
      <c r="AD68" s="587"/>
      <c r="AE68" s="538"/>
    </row>
    <row r="69" spans="2:32" s="82" customFormat="1" ht="35.1" customHeight="1" x14ac:dyDescent="0.2">
      <c r="B69" s="476"/>
      <c r="C69" s="823" t="s">
        <v>312</v>
      </c>
      <c r="D69" s="823"/>
      <c r="E69" s="578"/>
      <c r="F69" s="578"/>
      <c r="G69" s="578"/>
      <c r="H69" s="578"/>
      <c r="I69" s="578"/>
      <c r="J69" s="578"/>
      <c r="K69" s="578"/>
      <c r="L69" s="578"/>
      <c r="M69" s="572"/>
      <c r="N69" s="578"/>
      <c r="O69" s="572"/>
      <c r="P69" s="579"/>
      <c r="Q69" s="578"/>
      <c r="R69" s="579"/>
      <c r="S69" s="578"/>
      <c r="T69" s="579"/>
      <c r="U69" s="578"/>
      <c r="V69" s="579"/>
      <c r="W69" s="578"/>
      <c r="X69" s="578"/>
      <c r="Y69" s="578"/>
      <c r="Z69" s="578"/>
      <c r="AA69" s="582"/>
      <c r="AB69" s="572"/>
      <c r="AC69" s="586"/>
      <c r="AD69" s="587"/>
      <c r="AE69" s="592"/>
      <c r="AF69" s="687"/>
    </row>
    <row r="70" spans="2:32" s="82" customFormat="1" ht="35.1" customHeight="1" x14ac:dyDescent="0.2">
      <c r="B70" s="476"/>
      <c r="C70" s="824" t="s">
        <v>338</v>
      </c>
      <c r="D70" s="824"/>
      <c r="E70" s="578"/>
      <c r="F70" s="578"/>
      <c r="G70" s="578"/>
      <c r="H70" s="578"/>
      <c r="I70" s="578"/>
      <c r="J70" s="578"/>
      <c r="K70" s="578"/>
      <c r="L70" s="578"/>
      <c r="M70" s="585"/>
      <c r="N70" s="578"/>
      <c r="O70" s="579"/>
      <c r="P70" s="579"/>
      <c r="Q70" s="578"/>
      <c r="R70" s="579"/>
      <c r="S70" s="578"/>
      <c r="T70" s="579"/>
      <c r="U70" s="578"/>
      <c r="V70" s="579"/>
      <c r="W70" s="578"/>
      <c r="X70" s="578"/>
      <c r="Y70" s="578"/>
      <c r="Z70" s="578"/>
      <c r="AA70" s="582"/>
      <c r="AB70" s="572"/>
      <c r="AC70" s="586"/>
      <c r="AD70" s="587"/>
      <c r="AE70" s="592"/>
      <c r="AF70" s="679"/>
    </row>
    <row r="71" spans="2:32" s="53" customFormat="1" ht="35.1" customHeight="1" x14ac:dyDescent="0.2">
      <c r="B71" s="476"/>
      <c r="C71" s="477" t="s">
        <v>275</v>
      </c>
      <c r="D71" s="478"/>
      <c r="E71" s="571">
        <v>0</v>
      </c>
      <c r="F71" s="571"/>
      <c r="G71" s="571">
        <v>0</v>
      </c>
      <c r="H71" s="571"/>
      <c r="I71" s="571">
        <v>1</v>
      </c>
      <c r="J71" s="571"/>
      <c r="K71" s="571">
        <v>0</v>
      </c>
      <c r="L71" s="571"/>
      <c r="M71" s="571">
        <v>0</v>
      </c>
      <c r="N71" s="571"/>
      <c r="O71" s="571">
        <v>0</v>
      </c>
      <c r="P71" s="571"/>
      <c r="Q71" s="571">
        <v>0</v>
      </c>
      <c r="R71" s="571"/>
      <c r="S71" s="571">
        <v>0</v>
      </c>
      <c r="T71" s="571"/>
      <c r="U71" s="571">
        <v>0</v>
      </c>
      <c r="V71" s="571"/>
      <c r="W71" s="571">
        <v>0</v>
      </c>
      <c r="X71" s="571"/>
      <c r="Y71" s="571">
        <v>0</v>
      </c>
      <c r="Z71" s="571"/>
      <c r="AA71" s="582">
        <f>SUM(E71:Z71)</f>
        <v>1</v>
      </c>
      <c r="AB71" s="582"/>
      <c r="AC71" s="583">
        <f>AA71/$AA$91*100</f>
        <v>1.7241379310344827</v>
      </c>
      <c r="AD71" s="587"/>
      <c r="AE71" s="538"/>
      <c r="AF71" s="687"/>
    </row>
    <row r="72" spans="2:32" s="53" customFormat="1" ht="35.1" customHeight="1" x14ac:dyDescent="0.2">
      <c r="B72" s="476"/>
      <c r="C72" s="477" t="s">
        <v>15</v>
      </c>
      <c r="D72" s="478"/>
      <c r="E72" s="571">
        <v>0</v>
      </c>
      <c r="F72" s="571"/>
      <c r="G72" s="571">
        <v>0</v>
      </c>
      <c r="H72" s="571"/>
      <c r="I72" s="571">
        <v>60</v>
      </c>
      <c r="J72" s="571"/>
      <c r="K72" s="571">
        <v>0</v>
      </c>
      <c r="L72" s="571"/>
      <c r="M72" s="571">
        <v>0</v>
      </c>
      <c r="N72" s="571"/>
      <c r="O72" s="571">
        <v>0</v>
      </c>
      <c r="P72" s="571"/>
      <c r="Q72" s="571">
        <v>0</v>
      </c>
      <c r="R72" s="571"/>
      <c r="S72" s="571">
        <v>0</v>
      </c>
      <c r="T72" s="571"/>
      <c r="U72" s="571">
        <v>0</v>
      </c>
      <c r="V72" s="571"/>
      <c r="W72" s="571">
        <v>0</v>
      </c>
      <c r="X72" s="571"/>
      <c r="Y72" s="571">
        <v>0</v>
      </c>
      <c r="Z72" s="571"/>
      <c r="AA72" s="582">
        <f>SUM(E72:Z72)</f>
        <v>60</v>
      </c>
      <c r="AB72" s="582"/>
      <c r="AC72" s="583">
        <f>AA72/$AA$92*100</f>
        <v>8.0682032111448782E-2</v>
      </c>
      <c r="AD72" s="587"/>
      <c r="AE72" s="538"/>
      <c r="AF72" s="679"/>
    </row>
    <row r="73" spans="2:32" s="53" customFormat="1" ht="35.1" customHeight="1" x14ac:dyDescent="0.2">
      <c r="B73" s="476"/>
      <c r="C73" s="477" t="s">
        <v>16</v>
      </c>
      <c r="D73" s="478"/>
      <c r="E73" s="571">
        <v>0</v>
      </c>
      <c r="F73" s="571"/>
      <c r="G73" s="571">
        <v>0</v>
      </c>
      <c r="H73" s="571"/>
      <c r="I73" s="571">
        <v>9840</v>
      </c>
      <c r="J73" s="571"/>
      <c r="K73" s="571">
        <v>0</v>
      </c>
      <c r="L73" s="571"/>
      <c r="M73" s="571">
        <v>0</v>
      </c>
      <c r="N73" s="571"/>
      <c r="O73" s="571">
        <v>0</v>
      </c>
      <c r="P73" s="571"/>
      <c r="Q73" s="571">
        <v>0</v>
      </c>
      <c r="R73" s="571"/>
      <c r="S73" s="571">
        <v>0</v>
      </c>
      <c r="T73" s="571"/>
      <c r="U73" s="571">
        <v>0</v>
      </c>
      <c r="V73" s="571"/>
      <c r="W73" s="571">
        <v>0</v>
      </c>
      <c r="X73" s="571"/>
      <c r="Y73" s="571">
        <v>0</v>
      </c>
      <c r="Z73" s="571"/>
      <c r="AA73" s="582">
        <f>SUM(E73:Z73)</f>
        <v>9840</v>
      </c>
      <c r="AB73" s="582"/>
      <c r="AC73" s="583">
        <f>AA73/$AA$93*100</f>
        <v>0.12644996603584754</v>
      </c>
      <c r="AD73" s="587"/>
      <c r="AE73" s="538"/>
      <c r="AF73" s="687"/>
    </row>
    <row r="74" spans="2:32" s="82" customFormat="1" ht="35.1" customHeight="1" x14ac:dyDescent="0.2">
      <c r="B74" s="476"/>
      <c r="C74" s="823" t="s">
        <v>314</v>
      </c>
      <c r="D74" s="823"/>
      <c r="E74" s="579"/>
      <c r="F74" s="579"/>
      <c r="G74" s="572"/>
      <c r="H74" s="579"/>
      <c r="I74" s="572"/>
      <c r="J74" s="578"/>
      <c r="K74" s="578"/>
      <c r="L74" s="578"/>
      <c r="M74" s="585"/>
      <c r="N74" s="578"/>
      <c r="O74" s="579"/>
      <c r="P74" s="579"/>
      <c r="Q74" s="578"/>
      <c r="R74" s="579"/>
      <c r="S74" s="578"/>
      <c r="T74" s="579"/>
      <c r="U74" s="578"/>
      <c r="V74" s="579"/>
      <c r="W74" s="578"/>
      <c r="X74" s="578"/>
      <c r="Y74" s="578"/>
      <c r="Z74" s="578"/>
      <c r="AA74" s="572"/>
      <c r="AB74" s="572"/>
      <c r="AC74" s="586"/>
      <c r="AD74" s="572"/>
      <c r="AE74" s="592"/>
      <c r="AF74" s="679"/>
    </row>
    <row r="75" spans="2:32" s="82" customFormat="1" ht="35.1" customHeight="1" x14ac:dyDescent="0.2">
      <c r="B75" s="476"/>
      <c r="C75" s="824" t="s">
        <v>339</v>
      </c>
      <c r="D75" s="824"/>
      <c r="E75" s="579"/>
      <c r="F75" s="579"/>
      <c r="G75" s="572"/>
      <c r="H75" s="579"/>
      <c r="I75" s="572"/>
      <c r="J75" s="578"/>
      <c r="K75" s="578"/>
      <c r="L75" s="578"/>
      <c r="M75" s="585"/>
      <c r="N75" s="578"/>
      <c r="O75" s="579"/>
      <c r="P75" s="579"/>
      <c r="Q75" s="578"/>
      <c r="R75" s="579"/>
      <c r="S75" s="578"/>
      <c r="T75" s="579"/>
      <c r="U75" s="578"/>
      <c r="V75" s="579"/>
      <c r="W75" s="578"/>
      <c r="X75" s="578"/>
      <c r="Y75" s="578"/>
      <c r="Z75" s="578"/>
      <c r="AA75" s="572"/>
      <c r="AB75" s="572"/>
      <c r="AC75" s="586"/>
      <c r="AD75" s="572"/>
      <c r="AE75" s="592"/>
      <c r="AF75" s="687"/>
    </row>
    <row r="76" spans="2:32" s="53" customFormat="1" ht="35.1" customHeight="1" x14ac:dyDescent="0.2">
      <c r="B76" s="476"/>
      <c r="C76" s="477" t="s">
        <v>275</v>
      </c>
      <c r="D76" s="478"/>
      <c r="E76" s="571">
        <v>0</v>
      </c>
      <c r="F76" s="571"/>
      <c r="G76" s="571">
        <v>0</v>
      </c>
      <c r="H76" s="571"/>
      <c r="I76" s="571">
        <v>0</v>
      </c>
      <c r="J76" s="571"/>
      <c r="K76" s="571">
        <v>1</v>
      </c>
      <c r="L76" s="571"/>
      <c r="M76" s="571">
        <v>0</v>
      </c>
      <c r="N76" s="571"/>
      <c r="O76" s="571">
        <v>0</v>
      </c>
      <c r="P76" s="571"/>
      <c r="Q76" s="571">
        <v>0</v>
      </c>
      <c r="R76" s="571"/>
      <c r="S76" s="571">
        <v>0</v>
      </c>
      <c r="T76" s="571"/>
      <c r="U76" s="571">
        <v>0</v>
      </c>
      <c r="V76" s="571"/>
      <c r="W76" s="571">
        <v>0</v>
      </c>
      <c r="X76" s="571"/>
      <c r="Y76" s="571">
        <v>0</v>
      </c>
      <c r="Z76" s="571"/>
      <c r="AA76" s="582">
        <f>SUM(E76:Z76)</f>
        <v>1</v>
      </c>
      <c r="AB76" s="582"/>
      <c r="AC76" s="583">
        <f>AA76/$AA$91*100</f>
        <v>1.7241379310344827</v>
      </c>
      <c r="AD76" s="587"/>
      <c r="AE76" s="538"/>
      <c r="AF76" s="679"/>
    </row>
    <row r="77" spans="2:32" s="53" customFormat="1" ht="35.1" customHeight="1" x14ac:dyDescent="0.2">
      <c r="B77" s="476"/>
      <c r="C77" s="477" t="s">
        <v>15</v>
      </c>
      <c r="D77" s="478"/>
      <c r="E77" s="571">
        <v>0</v>
      </c>
      <c r="F77" s="571"/>
      <c r="G77" s="571">
        <v>0</v>
      </c>
      <c r="H77" s="571"/>
      <c r="I77" s="571">
        <v>0</v>
      </c>
      <c r="J77" s="571"/>
      <c r="K77" s="571">
        <v>535</v>
      </c>
      <c r="L77" s="571"/>
      <c r="M77" s="571">
        <v>0</v>
      </c>
      <c r="N77" s="571"/>
      <c r="O77" s="571">
        <v>0</v>
      </c>
      <c r="P77" s="571"/>
      <c r="Q77" s="571">
        <v>0</v>
      </c>
      <c r="R77" s="571"/>
      <c r="S77" s="571">
        <v>0</v>
      </c>
      <c r="T77" s="571"/>
      <c r="U77" s="571">
        <v>0</v>
      </c>
      <c r="V77" s="571"/>
      <c r="W77" s="571">
        <v>0</v>
      </c>
      <c r="X77" s="571"/>
      <c r="Y77" s="571">
        <v>0</v>
      </c>
      <c r="Z77" s="571"/>
      <c r="AA77" s="582">
        <f>SUM(E77:Z77)</f>
        <v>535</v>
      </c>
      <c r="AB77" s="582"/>
      <c r="AC77" s="583">
        <f>AA77/$AA$92*100</f>
        <v>0.719414786327085</v>
      </c>
      <c r="AD77" s="587"/>
      <c r="AE77" s="538"/>
      <c r="AF77" s="184"/>
    </row>
    <row r="78" spans="2:32" s="53" customFormat="1" ht="35.1" customHeight="1" x14ac:dyDescent="0.2">
      <c r="B78" s="476"/>
      <c r="C78" s="477" t="s">
        <v>16</v>
      </c>
      <c r="D78" s="478"/>
      <c r="E78" s="571">
        <v>0</v>
      </c>
      <c r="F78" s="571"/>
      <c r="G78" s="571">
        <v>0</v>
      </c>
      <c r="H78" s="571"/>
      <c r="I78" s="571">
        <v>0</v>
      </c>
      <c r="J78" s="571"/>
      <c r="K78" s="571">
        <v>4280</v>
      </c>
      <c r="L78" s="571"/>
      <c r="M78" s="571">
        <v>0</v>
      </c>
      <c r="N78" s="571"/>
      <c r="O78" s="571">
        <v>0</v>
      </c>
      <c r="P78" s="571"/>
      <c r="Q78" s="571">
        <v>0</v>
      </c>
      <c r="R78" s="571"/>
      <c r="S78" s="571">
        <v>0</v>
      </c>
      <c r="T78" s="571"/>
      <c r="U78" s="571">
        <v>0</v>
      </c>
      <c r="V78" s="571"/>
      <c r="W78" s="571">
        <v>0</v>
      </c>
      <c r="X78" s="571"/>
      <c r="Y78" s="571">
        <v>0</v>
      </c>
      <c r="Z78" s="571"/>
      <c r="AA78" s="582">
        <f>SUM(E78:Z78)</f>
        <v>4280</v>
      </c>
      <c r="AB78" s="582"/>
      <c r="AC78" s="583">
        <f>AA78/$AA$93*100</f>
        <v>5.5000594983071895E-2</v>
      </c>
      <c r="AD78" s="587"/>
      <c r="AE78" s="538"/>
      <c r="AF78" s="184"/>
    </row>
    <row r="79" spans="2:32" s="82" customFormat="1" ht="35.1" customHeight="1" x14ac:dyDescent="0.2">
      <c r="B79" s="476"/>
      <c r="C79" s="823" t="s">
        <v>270</v>
      </c>
      <c r="D79" s="823"/>
      <c r="E79" s="579"/>
      <c r="F79" s="579"/>
      <c r="G79" s="572"/>
      <c r="H79" s="579"/>
      <c r="I79" s="572"/>
      <c r="J79" s="578"/>
      <c r="K79" s="578"/>
      <c r="L79" s="578"/>
      <c r="M79" s="585"/>
      <c r="N79" s="578"/>
      <c r="O79" s="579"/>
      <c r="P79" s="579"/>
      <c r="Q79" s="578"/>
      <c r="R79" s="579"/>
      <c r="S79" s="578"/>
      <c r="T79" s="579"/>
      <c r="U79" s="578"/>
      <c r="V79" s="579"/>
      <c r="W79" s="578"/>
      <c r="X79" s="578"/>
      <c r="Y79" s="578"/>
      <c r="Z79" s="578"/>
      <c r="AA79" s="572"/>
      <c r="AB79" s="572"/>
      <c r="AC79" s="586"/>
      <c r="AD79" s="572"/>
      <c r="AE79" s="592"/>
      <c r="AF79" s="679"/>
    </row>
    <row r="80" spans="2:32" s="82" customFormat="1" ht="35.1" customHeight="1" x14ac:dyDescent="0.2">
      <c r="B80" s="476"/>
      <c r="C80" s="824" t="s">
        <v>270</v>
      </c>
      <c r="D80" s="824"/>
      <c r="E80" s="579"/>
      <c r="F80" s="579"/>
      <c r="G80" s="572"/>
      <c r="H80" s="579"/>
      <c r="I80" s="572"/>
      <c r="J80" s="578"/>
      <c r="K80" s="578"/>
      <c r="L80" s="578"/>
      <c r="M80" s="585"/>
      <c r="N80" s="578"/>
      <c r="O80" s="579"/>
      <c r="P80" s="579"/>
      <c r="Q80" s="578"/>
      <c r="R80" s="579"/>
      <c r="S80" s="578"/>
      <c r="T80" s="579"/>
      <c r="U80" s="578"/>
      <c r="V80" s="579"/>
      <c r="W80" s="578"/>
      <c r="X80" s="578"/>
      <c r="Y80" s="578"/>
      <c r="Z80" s="578"/>
      <c r="AA80" s="572"/>
      <c r="AB80" s="572"/>
      <c r="AC80" s="586"/>
      <c r="AD80" s="572"/>
      <c r="AE80" s="592"/>
      <c r="AF80" s="687"/>
    </row>
    <row r="81" spans="2:33" s="53" customFormat="1" ht="35.1" customHeight="1" x14ac:dyDescent="0.2">
      <c r="B81" s="476"/>
      <c r="C81" s="477" t="s">
        <v>275</v>
      </c>
      <c r="D81" s="478"/>
      <c r="E81" s="571">
        <v>0</v>
      </c>
      <c r="F81" s="571"/>
      <c r="G81" s="571">
        <v>0</v>
      </c>
      <c r="H81" s="571"/>
      <c r="I81" s="571">
        <v>0</v>
      </c>
      <c r="J81" s="571"/>
      <c r="K81" s="571">
        <v>0</v>
      </c>
      <c r="L81" s="571"/>
      <c r="M81" s="571">
        <v>0</v>
      </c>
      <c r="N81" s="571"/>
      <c r="O81" s="571">
        <v>0</v>
      </c>
      <c r="P81" s="571"/>
      <c r="Q81" s="571">
        <v>0</v>
      </c>
      <c r="R81" s="571"/>
      <c r="S81" s="571">
        <v>1</v>
      </c>
      <c r="T81" s="571"/>
      <c r="U81" s="571">
        <v>3</v>
      </c>
      <c r="V81" s="571"/>
      <c r="W81" s="571">
        <v>0</v>
      </c>
      <c r="X81" s="571"/>
      <c r="Y81" s="571">
        <v>0</v>
      </c>
      <c r="Z81" s="571"/>
      <c r="AA81" s="582">
        <f>SUM(E81:Z81)</f>
        <v>4</v>
      </c>
      <c r="AB81" s="582"/>
      <c r="AC81" s="583">
        <f>AA81/$AA$91*100</f>
        <v>6.8965517241379306</v>
      </c>
      <c r="AD81" s="587"/>
      <c r="AE81" s="538"/>
      <c r="AF81" s="679"/>
    </row>
    <row r="82" spans="2:33" s="53" customFormat="1" ht="35.1" customHeight="1" x14ac:dyDescent="0.2">
      <c r="B82" s="476"/>
      <c r="C82" s="477" t="s">
        <v>15</v>
      </c>
      <c r="D82" s="478"/>
      <c r="E82" s="571">
        <v>0</v>
      </c>
      <c r="F82" s="571"/>
      <c r="G82" s="571">
        <v>0</v>
      </c>
      <c r="H82" s="571"/>
      <c r="I82" s="571">
        <v>0</v>
      </c>
      <c r="J82" s="571"/>
      <c r="K82" s="571">
        <v>0</v>
      </c>
      <c r="L82" s="571"/>
      <c r="M82" s="571">
        <v>0</v>
      </c>
      <c r="N82" s="571"/>
      <c r="O82" s="571">
        <v>0</v>
      </c>
      <c r="P82" s="571"/>
      <c r="Q82" s="571">
        <v>0</v>
      </c>
      <c r="R82" s="571"/>
      <c r="S82" s="571">
        <v>55</v>
      </c>
      <c r="T82" s="571"/>
      <c r="U82" s="571">
        <v>240</v>
      </c>
      <c r="V82" s="571"/>
      <c r="W82" s="571">
        <v>0</v>
      </c>
      <c r="X82" s="571"/>
      <c r="Y82" s="571">
        <v>0</v>
      </c>
      <c r="Z82" s="571"/>
      <c r="AA82" s="582">
        <f>SUM(E82:Z82)</f>
        <v>295</v>
      </c>
      <c r="AB82" s="582"/>
      <c r="AC82" s="583">
        <f>AA82/$AA$92*100</f>
        <v>0.39668665788128982</v>
      </c>
      <c r="AD82" s="587"/>
      <c r="AE82" s="538"/>
      <c r="AF82" s="184"/>
    </row>
    <row r="83" spans="2:33" s="53" customFormat="1" ht="35.1" customHeight="1" x14ac:dyDescent="0.2">
      <c r="B83" s="476"/>
      <c r="C83" s="477" t="s">
        <v>16</v>
      </c>
      <c r="D83" s="478"/>
      <c r="E83" s="571">
        <v>0</v>
      </c>
      <c r="F83" s="571"/>
      <c r="G83" s="571">
        <v>0</v>
      </c>
      <c r="H83" s="571"/>
      <c r="I83" s="571">
        <v>0</v>
      </c>
      <c r="J83" s="571"/>
      <c r="K83" s="571">
        <v>0</v>
      </c>
      <c r="L83" s="571"/>
      <c r="M83" s="571">
        <v>0</v>
      </c>
      <c r="N83" s="571"/>
      <c r="O83" s="571">
        <v>0</v>
      </c>
      <c r="P83" s="571"/>
      <c r="Q83" s="571">
        <v>0</v>
      </c>
      <c r="R83" s="571"/>
      <c r="S83" s="571">
        <v>12272</v>
      </c>
      <c r="T83" s="571"/>
      <c r="U83" s="571">
        <v>1920</v>
      </c>
      <c r="V83" s="571"/>
      <c r="W83" s="571">
        <v>0</v>
      </c>
      <c r="X83" s="571"/>
      <c r="Y83" s="571">
        <v>0</v>
      </c>
      <c r="Z83" s="571"/>
      <c r="AA83" s="582">
        <f>SUM(E83:Z83)</f>
        <v>14192</v>
      </c>
      <c r="AB83" s="582"/>
      <c r="AC83" s="583">
        <f>AA83/$AA$93*100</f>
        <v>0.18237580467284026</v>
      </c>
      <c r="AD83" s="587"/>
      <c r="AE83" s="538"/>
      <c r="AF83" s="184"/>
    </row>
    <row r="84" spans="2:33" s="82" customFormat="1" ht="35.1" customHeight="1" x14ac:dyDescent="0.2">
      <c r="B84" s="476"/>
      <c r="C84" s="823" t="s">
        <v>317</v>
      </c>
      <c r="D84" s="823"/>
      <c r="E84" s="579"/>
      <c r="F84" s="579"/>
      <c r="G84" s="572"/>
      <c r="H84" s="579"/>
      <c r="I84" s="572"/>
      <c r="J84" s="578"/>
      <c r="K84" s="578"/>
      <c r="L84" s="578"/>
      <c r="M84" s="585"/>
      <c r="N84" s="578"/>
      <c r="O84" s="579"/>
      <c r="P84" s="579"/>
      <c r="Q84" s="578"/>
      <c r="R84" s="579"/>
      <c r="S84" s="578"/>
      <c r="T84" s="579"/>
      <c r="U84" s="578"/>
      <c r="V84" s="579"/>
      <c r="W84" s="578"/>
      <c r="X84" s="578"/>
      <c r="Y84" s="578"/>
      <c r="Z84" s="578"/>
      <c r="AA84" s="572"/>
      <c r="AB84" s="572"/>
      <c r="AC84" s="586"/>
      <c r="AD84" s="572"/>
      <c r="AE84" s="592"/>
      <c r="AF84" s="679"/>
    </row>
    <row r="85" spans="2:33" s="82" customFormat="1" ht="35.1" customHeight="1" x14ac:dyDescent="0.2">
      <c r="B85" s="476"/>
      <c r="C85" s="824" t="s">
        <v>340</v>
      </c>
      <c r="D85" s="824"/>
      <c r="E85" s="579"/>
      <c r="F85" s="579"/>
      <c r="G85" s="572"/>
      <c r="H85" s="579"/>
      <c r="I85" s="572"/>
      <c r="J85" s="578"/>
      <c r="K85" s="578"/>
      <c r="L85" s="578"/>
      <c r="M85" s="585"/>
      <c r="N85" s="578"/>
      <c r="O85" s="579"/>
      <c r="P85" s="579"/>
      <c r="Q85" s="578"/>
      <c r="R85" s="579"/>
      <c r="S85" s="578"/>
      <c r="T85" s="579"/>
      <c r="U85" s="578"/>
      <c r="V85" s="579"/>
      <c r="W85" s="578"/>
      <c r="X85" s="578"/>
      <c r="Y85" s="578"/>
      <c r="Z85" s="578"/>
      <c r="AA85" s="572"/>
      <c r="AB85" s="572"/>
      <c r="AC85" s="586"/>
      <c r="AD85" s="572"/>
      <c r="AE85" s="592"/>
      <c r="AF85" s="687"/>
    </row>
    <row r="86" spans="2:33" s="53" customFormat="1" ht="35.1" customHeight="1" x14ac:dyDescent="0.2">
      <c r="B86" s="476"/>
      <c r="C86" s="477" t="s">
        <v>275</v>
      </c>
      <c r="D86" s="478"/>
      <c r="E86" s="571">
        <v>0</v>
      </c>
      <c r="F86" s="571"/>
      <c r="G86" s="571">
        <v>0</v>
      </c>
      <c r="H86" s="571"/>
      <c r="I86" s="571">
        <v>0</v>
      </c>
      <c r="J86" s="571"/>
      <c r="K86" s="571">
        <v>1</v>
      </c>
      <c r="L86" s="571"/>
      <c r="M86" s="571">
        <v>1</v>
      </c>
      <c r="N86" s="571"/>
      <c r="O86" s="571">
        <v>0</v>
      </c>
      <c r="P86" s="571"/>
      <c r="Q86" s="571">
        <v>0</v>
      </c>
      <c r="R86" s="571"/>
      <c r="S86" s="571">
        <v>0</v>
      </c>
      <c r="T86" s="571"/>
      <c r="U86" s="571">
        <v>0</v>
      </c>
      <c r="V86" s="571"/>
      <c r="W86" s="571">
        <v>1</v>
      </c>
      <c r="X86" s="571"/>
      <c r="Y86" s="571">
        <v>0</v>
      </c>
      <c r="Z86" s="571"/>
      <c r="AA86" s="582">
        <f>SUM(E86:Z86)</f>
        <v>3</v>
      </c>
      <c r="AB86" s="582"/>
      <c r="AC86" s="583">
        <f>AA86/$AA$91*100</f>
        <v>5.1724137931034484</v>
      </c>
      <c r="AD86" s="587"/>
      <c r="AE86" s="538"/>
      <c r="AF86" s="679"/>
    </row>
    <row r="87" spans="2:33" s="53" customFormat="1" ht="35.1" customHeight="1" x14ac:dyDescent="0.2">
      <c r="B87" s="476"/>
      <c r="C87" s="477" t="s">
        <v>15</v>
      </c>
      <c r="D87" s="478"/>
      <c r="E87" s="571">
        <v>0</v>
      </c>
      <c r="F87" s="571"/>
      <c r="G87" s="571">
        <v>0</v>
      </c>
      <c r="H87" s="571"/>
      <c r="I87" s="571">
        <v>0</v>
      </c>
      <c r="J87" s="571"/>
      <c r="K87" s="571">
        <v>30</v>
      </c>
      <c r="L87" s="571"/>
      <c r="M87" s="571">
        <v>40</v>
      </c>
      <c r="N87" s="571"/>
      <c r="O87" s="571">
        <v>0</v>
      </c>
      <c r="P87" s="571"/>
      <c r="Q87" s="571">
        <v>0</v>
      </c>
      <c r="R87" s="571"/>
      <c r="S87" s="571">
        <v>0</v>
      </c>
      <c r="T87" s="571"/>
      <c r="U87" s="571">
        <v>0</v>
      </c>
      <c r="V87" s="571"/>
      <c r="W87" s="571">
        <v>50</v>
      </c>
      <c r="X87" s="571"/>
      <c r="Y87" s="571">
        <v>0</v>
      </c>
      <c r="Z87" s="571"/>
      <c r="AA87" s="582">
        <f>SUM(E87:Z87)</f>
        <v>120</v>
      </c>
      <c r="AB87" s="582"/>
      <c r="AC87" s="583">
        <f>AA87/$AA$92*100</f>
        <v>0.16136406422289756</v>
      </c>
      <c r="AD87" s="587"/>
      <c r="AE87" s="538"/>
      <c r="AF87" s="184"/>
    </row>
    <row r="88" spans="2:33" s="53" customFormat="1" ht="35.1" customHeight="1" x14ac:dyDescent="0.2">
      <c r="B88" s="476"/>
      <c r="C88" s="477" t="s">
        <v>16</v>
      </c>
      <c r="D88" s="478"/>
      <c r="E88" s="571">
        <v>0</v>
      </c>
      <c r="F88" s="571"/>
      <c r="G88" s="571">
        <v>0</v>
      </c>
      <c r="H88" s="571"/>
      <c r="I88" s="571">
        <v>0</v>
      </c>
      <c r="J88" s="571"/>
      <c r="K88" s="571">
        <v>480</v>
      </c>
      <c r="L88" s="571"/>
      <c r="M88" s="571">
        <v>2880</v>
      </c>
      <c r="N88" s="571"/>
      <c r="O88" s="571">
        <v>0</v>
      </c>
      <c r="P88" s="571"/>
      <c r="Q88" s="571">
        <v>0</v>
      </c>
      <c r="R88" s="571"/>
      <c r="S88" s="571">
        <v>0</v>
      </c>
      <c r="T88" s="571"/>
      <c r="U88" s="571">
        <v>0</v>
      </c>
      <c r="V88" s="571"/>
      <c r="W88" s="571">
        <v>300</v>
      </c>
      <c r="X88" s="571"/>
      <c r="Y88" s="571">
        <v>0</v>
      </c>
      <c r="Z88" s="571"/>
      <c r="AA88" s="582">
        <f>SUM(E88:Z88)</f>
        <v>3660</v>
      </c>
      <c r="AB88" s="582"/>
      <c r="AC88" s="583">
        <f>AA88/$AA$93*100</f>
        <v>4.703321907430915E-2</v>
      </c>
      <c r="AD88" s="587"/>
      <c r="AE88" s="538"/>
      <c r="AF88" s="184"/>
    </row>
    <row r="89" spans="2:33" s="82" customFormat="1" ht="9.75" customHeight="1" x14ac:dyDescent="0.2">
      <c r="B89" s="476"/>
      <c r="C89" s="477"/>
      <c r="D89" s="478"/>
      <c r="E89" s="571"/>
      <c r="F89" s="571"/>
      <c r="G89" s="571"/>
      <c r="H89" s="571"/>
      <c r="I89" s="571"/>
      <c r="J89" s="571"/>
      <c r="K89" s="571"/>
      <c r="L89" s="571"/>
      <c r="M89" s="570"/>
      <c r="N89" s="571"/>
      <c r="O89" s="571"/>
      <c r="P89" s="571"/>
      <c r="Q89" s="571"/>
      <c r="R89" s="571"/>
      <c r="S89" s="571"/>
      <c r="T89" s="571"/>
      <c r="U89" s="571"/>
      <c r="V89" s="571"/>
      <c r="W89" s="571"/>
      <c r="X89" s="571"/>
      <c r="Y89" s="571"/>
      <c r="Z89" s="571"/>
      <c r="AA89" s="582"/>
      <c r="AB89" s="572"/>
      <c r="AC89" s="586"/>
      <c r="AD89" s="572"/>
      <c r="AE89" s="592"/>
      <c r="AF89" s="184"/>
    </row>
    <row r="90" spans="2:33" s="593" customFormat="1" ht="35.1" customHeight="1" x14ac:dyDescent="0.2">
      <c r="B90" s="827" t="s">
        <v>6</v>
      </c>
      <c r="C90" s="827"/>
      <c r="D90" s="828"/>
      <c r="E90" s="597"/>
      <c r="F90" s="597"/>
      <c r="G90" s="597"/>
      <c r="H90" s="597"/>
      <c r="I90" s="597"/>
      <c r="J90" s="597"/>
      <c r="K90" s="597"/>
      <c r="L90" s="597"/>
      <c r="M90" s="598"/>
      <c r="N90" s="597"/>
      <c r="O90" s="597"/>
      <c r="P90" s="597"/>
      <c r="Q90" s="597"/>
      <c r="R90" s="597"/>
      <c r="S90" s="597"/>
      <c r="T90" s="597"/>
      <c r="U90" s="597"/>
      <c r="V90" s="597"/>
      <c r="W90" s="597"/>
      <c r="X90" s="597"/>
      <c r="Y90" s="597"/>
      <c r="Z90" s="597"/>
      <c r="AA90" s="604"/>
      <c r="AB90" s="599"/>
      <c r="AC90" s="600"/>
      <c r="AD90" s="599"/>
      <c r="AE90" s="594"/>
      <c r="AF90" s="184"/>
    </row>
    <row r="91" spans="2:33" s="593" customFormat="1" ht="35.1" customHeight="1" x14ac:dyDescent="0.2">
      <c r="B91" s="829" t="s">
        <v>275</v>
      </c>
      <c r="C91" s="829"/>
      <c r="D91" s="830"/>
      <c r="E91" s="599">
        <f>SUM(E10+E15+E20+E30+E35+E40+E57+E62+E66++E71+E86+E25+E53+E76+E81)</f>
        <v>0</v>
      </c>
      <c r="F91" s="599"/>
      <c r="G91" s="599">
        <f>SUM(G10+G15+G20+G30+G35+G40+G57+G62+G66++G71+G86+G25+G53+G76+G81)</f>
        <v>3</v>
      </c>
      <c r="H91" s="599"/>
      <c r="I91" s="599">
        <f>SUM(I10+I15+I20+I30+I35+I40+I57+I62+I66++I71+I86+I25+I53+I76+I81)</f>
        <v>12</v>
      </c>
      <c r="J91" s="599"/>
      <c r="K91" s="599">
        <f>SUM(K10+K15+K20+K30+K35+K40+K57+K62+K66++K71+K86+K25+K53+K76+K81)</f>
        <v>2</v>
      </c>
      <c r="L91" s="599"/>
      <c r="M91" s="599">
        <f>SUM(M10+M15+M20+M30+M35+M40+M57+M62+M66++M71+M86+M25+M53+M76+M81)</f>
        <v>1</v>
      </c>
      <c r="N91" s="599"/>
      <c r="O91" s="599">
        <f>SUM(O10+O15+O20+O30+O35+O40+O57+O62+O66++O71+O86+O25+O53+O76+O81)</f>
        <v>3</v>
      </c>
      <c r="P91" s="599"/>
      <c r="Q91" s="599">
        <f>SUM(Q10+Q15+Q20+Q30+Q35+Q40+Q57+Q62+Q66++Q71+Q86+Q25+Q53+Q76+Q81)</f>
        <v>0</v>
      </c>
      <c r="R91" s="599"/>
      <c r="S91" s="599">
        <f>SUM(S10+S15+S20+S30+S35+S40+S57+S62+S66++S71+S86+S25+S53+S76+S81)</f>
        <v>20</v>
      </c>
      <c r="T91" s="599"/>
      <c r="U91" s="599">
        <f>SUM(U10+U15+U20+U30+U35+U40+U57+U62+U66++U71+U86+U25+U53+U76+U81)</f>
        <v>6</v>
      </c>
      <c r="V91" s="599"/>
      <c r="W91" s="599">
        <f>SUM(W10+W15+W20+W30+W35+W40+W57+W62+W66++W71+W86+W25+W53+W76+W81)</f>
        <v>10</v>
      </c>
      <c r="X91" s="599"/>
      <c r="Y91" s="599">
        <f>SUM(Y10+Y15+Y20+Y30+Y35+Y40+Y57+Y62+Y66++Y71+Y86+Y25+Y53+Y76+Y81)</f>
        <v>1</v>
      </c>
      <c r="Z91" s="599"/>
      <c r="AA91" s="599">
        <f>SUM(AA10+AA15+AA20+AA30+AA35+AA40+AA57+AA62+AA66++AA71+AA86+AA25+AA53+AA76+AA81)</f>
        <v>58</v>
      </c>
      <c r="AB91" s="599"/>
      <c r="AC91" s="599">
        <f>SUM(AC10+AC15+AC20+AC30+AC35+AC40+AC57+AC62+AC66++AC71+AC86+AC25+AC53+AC76+AC81)</f>
        <v>99.999999999999986</v>
      </c>
      <c r="AD91" s="601"/>
      <c r="AE91" s="594"/>
      <c r="AF91" s="688"/>
      <c r="AG91" s="595"/>
    </row>
    <row r="92" spans="2:33" s="593" customFormat="1" ht="35.1" customHeight="1" x14ac:dyDescent="0.2">
      <c r="B92" s="829" t="s">
        <v>15</v>
      </c>
      <c r="C92" s="829"/>
      <c r="D92" s="830"/>
      <c r="E92" s="599">
        <f>SUM(E11+E16+E21+E31+E36+E41+E58+E63+E67++E72+E87+E26+E54+E77+E82)</f>
        <v>0</v>
      </c>
      <c r="F92" s="599"/>
      <c r="G92" s="599">
        <f>SUM(G11+G16+G21+G31+G36+G41+G58+G63+G67++G72+G87+G26+G54+G77+G82)</f>
        <v>1038</v>
      </c>
      <c r="H92" s="599"/>
      <c r="I92" s="599">
        <f>SUM(I11+I16+I21+I31+I36+I41+I58+I63+I67++I72+I87+I26+I54+I77+I82)</f>
        <v>2160</v>
      </c>
      <c r="J92" s="599"/>
      <c r="K92" s="599">
        <f>SUM(K11+K16+K21+K31+K36+K41+K58+K63+K67++K72+K87+K26+K54+K77+K82)</f>
        <v>565</v>
      </c>
      <c r="L92" s="599"/>
      <c r="M92" s="599">
        <f>SUM(M11+M16+M21+M31+M36+M41+M58+M63+M67++M72+M87+M26+M54+M77+M82)</f>
        <v>40</v>
      </c>
      <c r="N92" s="599"/>
      <c r="O92" s="599">
        <f>SUM(O11+O16+O21+O31+O36+O41+O58+O63+O67++O72+O87+O26+O54+O77+O82)</f>
        <v>113</v>
      </c>
      <c r="P92" s="599"/>
      <c r="Q92" s="599">
        <f>SUM(Q11+Q16+Q21+Q31+Q36+Q41+Q58+Q63+Q67++Q72+Q87+Q26+Q54+Q77+Q82)</f>
        <v>0</v>
      </c>
      <c r="R92" s="599"/>
      <c r="S92" s="599">
        <f>SUM(S11+S16+S21+S31+S36+S41+S58+S63+S67++S72+S87+S26+S54+S77+S82)</f>
        <v>48146</v>
      </c>
      <c r="T92" s="599"/>
      <c r="U92" s="599">
        <f>SUM(U11+U16+U21+U31+U36+U41+U58+U63+U67++U72+U87+U26+U54+U77+U82)</f>
        <v>567</v>
      </c>
      <c r="V92" s="599"/>
      <c r="W92" s="599">
        <f>SUM(W11+W16+W21+W31+W36+W41+W58+W63+W67++W72+W87+W26+W54+W77+W82)</f>
        <v>20837</v>
      </c>
      <c r="X92" s="599"/>
      <c r="Y92" s="599">
        <f>SUM(Y11+Y16+Y21+Y31+Y36+Y41+Y58+Y63+Y67++Y72+Y87+Y26+Y54+Y77+Y82)</f>
        <v>900</v>
      </c>
      <c r="Z92" s="599"/>
      <c r="AA92" s="599">
        <f>SUM(AA11+AA16+AA21+AA31+AA36+AA41+AA58+AA63+AA67++AA72+AA87+AA26+AA54+AA77+AA82)</f>
        <v>74366</v>
      </c>
      <c r="AB92" s="599"/>
      <c r="AC92" s="599">
        <f>SUM(AC11+AC16+AC21+AC31+AC36+AC41+AC58+AC63+AC67++AC72+AC87+AC26+AC54+AC77+AC82)</f>
        <v>100</v>
      </c>
      <c r="AD92" s="601"/>
      <c r="AE92" s="594"/>
      <c r="AF92" s="688"/>
      <c r="AG92" s="595"/>
    </row>
    <row r="93" spans="2:33" s="593" customFormat="1" ht="35.1" customHeight="1" x14ac:dyDescent="0.2">
      <c r="B93" s="829" t="s">
        <v>16</v>
      </c>
      <c r="C93" s="829"/>
      <c r="D93" s="830"/>
      <c r="E93" s="599">
        <f>SUM(E12+E17+E22+E32+E37+E42+E59+E64+E68++E73+E88+E27+E55+E78+E83)</f>
        <v>0</v>
      </c>
      <c r="F93" s="610"/>
      <c r="G93" s="599">
        <f>SUM(G12+G17+G22+G32+G37+G42+G59+G64+G68++G73+G88+G27+G55+G78+G83)</f>
        <v>191768</v>
      </c>
      <c r="H93" s="599"/>
      <c r="I93" s="599">
        <f>SUM(I12+I17+I22+I32+I37+I42+I59+I64+I68++I73+I88+I27+I55+I78+I83)</f>
        <v>136448</v>
      </c>
      <c r="J93" s="599"/>
      <c r="K93" s="599">
        <f>SUM(K12+K17+K22+K32+K37+K42+K59+K64+K68++K73+K88+K27+K55+K78+K83)</f>
        <v>4760</v>
      </c>
      <c r="L93" s="599"/>
      <c r="M93" s="599">
        <f>SUM(M12+M17+M22+M32+M37+M42+M59+M64+M68++M73+M88+M27+M55+M78+M83)</f>
        <v>2880</v>
      </c>
      <c r="N93" s="599"/>
      <c r="O93" s="599">
        <f>SUM(O12+O17+O22+O32+O37+O42+O59+O64+O68++O73+O88+O27+O55+O78+O83)</f>
        <v>2384</v>
      </c>
      <c r="P93" s="599"/>
      <c r="Q93" s="599">
        <f>SUM(Q12+Q17+Q22+Q32+Q37+Q42+Q59+Q64+Q68++Q73+Q88+Q27+Q55+Q78+Q83)</f>
        <v>0</v>
      </c>
      <c r="R93" s="599"/>
      <c r="S93" s="599">
        <f>SUM(S12+S17+S22+S32+S37+S42+S59+S64+S68++S73+S88+S27+S55+S78+S83)</f>
        <v>6099568</v>
      </c>
      <c r="T93" s="599"/>
      <c r="U93" s="599">
        <f>SUM(U12+U17+U22+U32+U37+U42+U59+U64+U68++U73+U88+U27+U55+U78+U83)</f>
        <v>11800</v>
      </c>
      <c r="V93" s="599"/>
      <c r="W93" s="599">
        <f>SUM(W12+W17+W22+W32+W37+W42+W59+W64+W68++W73+W88+W27+W55+W78+W83)</f>
        <v>1317726</v>
      </c>
      <c r="X93" s="599"/>
      <c r="Y93" s="599">
        <f>SUM(Y12+Y17+Y22+Y32+Y37+Y42+Y59+Y64+Y68++Y73+Y88+Y27+Y55+Y78+Y83)</f>
        <v>14400</v>
      </c>
      <c r="Z93" s="599"/>
      <c r="AA93" s="599">
        <f>SUM(AA12+AA17+AA22+AA32+AA37+AA42+AA59+AA64+AA68++AA73+AA88+AA27+AA55+AA78+AA83)</f>
        <v>7781734</v>
      </c>
      <c r="AB93" s="599"/>
      <c r="AC93" s="599">
        <f>SUM(AC12+AC17+AC22+AC32+AC37+AC42+AC59+AC64+AC68++AC73+AC88+AC27+AC55+AC78+AC83)</f>
        <v>100.00000000000001</v>
      </c>
      <c r="AD93" s="599"/>
      <c r="AE93" s="594"/>
      <c r="AF93" s="688"/>
      <c r="AG93" s="595"/>
    </row>
    <row r="94" spans="2:33" ht="29.25" customHeight="1" x14ac:dyDescent="0.25">
      <c r="B94" s="826" t="s">
        <v>217</v>
      </c>
      <c r="C94" s="826"/>
      <c r="D94" s="826"/>
      <c r="E94" s="826"/>
      <c r="F94" s="826"/>
      <c r="G94" s="826"/>
      <c r="H94" s="605"/>
      <c r="I94" s="605"/>
      <c r="J94" s="605"/>
      <c r="K94" s="605"/>
      <c r="L94" s="605"/>
      <c r="M94" s="605"/>
      <c r="N94" s="605"/>
      <c r="O94" s="605"/>
      <c r="P94" s="605"/>
      <c r="Q94" s="605"/>
      <c r="R94" s="605"/>
      <c r="S94" s="605"/>
      <c r="T94" s="605"/>
      <c r="U94" s="605"/>
      <c r="V94" s="605"/>
      <c r="W94" s="134"/>
      <c r="X94" s="134"/>
      <c r="Y94" s="134"/>
      <c r="Z94" s="134"/>
      <c r="AA94" s="134"/>
      <c r="AB94" s="602"/>
      <c r="AC94" s="603"/>
      <c r="AD94" s="602"/>
      <c r="AE94" s="9"/>
      <c r="AF94" s="529"/>
      <c r="AG94" s="9"/>
    </row>
    <row r="95" spans="2:33" ht="24.6" customHeight="1" x14ac:dyDescent="0.25">
      <c r="B95" s="211" t="s">
        <v>276</v>
      </c>
      <c r="C95" s="3"/>
      <c r="D95" s="606"/>
      <c r="E95" s="606"/>
      <c r="F95" s="606"/>
      <c r="G95" s="606"/>
      <c r="H95" s="606"/>
      <c r="I95" s="607"/>
      <c r="J95" s="607"/>
      <c r="K95" s="607"/>
      <c r="L95" s="607"/>
      <c r="M95" s="3"/>
      <c r="N95" s="3"/>
      <c r="O95" s="3"/>
      <c r="P95" s="3"/>
      <c r="Q95" s="3"/>
      <c r="R95" s="3"/>
      <c r="S95" s="3"/>
      <c r="T95" s="3"/>
      <c r="U95" s="3"/>
      <c r="V95" s="3"/>
      <c r="W95" s="1"/>
      <c r="X95" s="1"/>
      <c r="Y95" s="1"/>
      <c r="Z95" s="1"/>
      <c r="AA95" s="596"/>
      <c r="AC95" s="13"/>
      <c r="AD95" s="14"/>
      <c r="AE95" s="13"/>
      <c r="AF95" s="14"/>
      <c r="AG95" s="15"/>
    </row>
    <row r="96" spans="2:33" ht="24.6" customHeight="1" x14ac:dyDescent="0.2">
      <c r="B96" s="31" t="s">
        <v>277</v>
      </c>
      <c r="C96" s="3"/>
      <c r="D96" s="3"/>
      <c r="I96" s="608"/>
      <c r="J96" s="609"/>
      <c r="K96" s="609"/>
      <c r="L96" s="3"/>
      <c r="M96" s="3"/>
      <c r="N96" s="3"/>
      <c r="O96" s="3"/>
      <c r="P96" s="3"/>
      <c r="Q96" s="3"/>
      <c r="R96" s="3"/>
      <c r="S96" s="3"/>
      <c r="T96" s="3"/>
      <c r="U96" s="3"/>
      <c r="V96" s="3"/>
      <c r="W96" s="1"/>
      <c r="X96" s="1"/>
      <c r="Y96" s="1"/>
      <c r="Z96" s="1"/>
      <c r="AA96" s="596"/>
      <c r="AF96" s="1"/>
    </row>
    <row r="97" spans="2:48" ht="30.75" customHeight="1" x14ac:dyDescent="0.2">
      <c r="B97" s="715" t="s">
        <v>278</v>
      </c>
      <c r="C97" s="715"/>
      <c r="D97" s="715"/>
      <c r="E97" s="715"/>
      <c r="F97" s="715"/>
      <c r="G97" s="715"/>
      <c r="H97" s="715"/>
      <c r="I97" s="715"/>
      <c r="J97" s="715"/>
      <c r="K97" s="715"/>
      <c r="L97" s="3"/>
      <c r="M97" s="3"/>
      <c r="N97" s="3"/>
      <c r="O97" s="3"/>
      <c r="P97" s="3"/>
      <c r="Q97" s="3"/>
      <c r="R97" s="3"/>
      <c r="S97" s="3"/>
      <c r="T97" s="3"/>
      <c r="U97" s="3"/>
      <c r="V97" s="3"/>
      <c r="W97" s="1"/>
      <c r="X97" s="1"/>
      <c r="Y97" s="1"/>
      <c r="Z97" s="1"/>
      <c r="AA97" s="596"/>
      <c r="AF97" s="1"/>
    </row>
    <row r="98" spans="2:48" s="38" customFormat="1" ht="37.9" customHeight="1" x14ac:dyDescent="0.2">
      <c r="B98" s="715" t="s">
        <v>279</v>
      </c>
      <c r="C98" s="715"/>
      <c r="D98" s="715"/>
      <c r="E98" s="715"/>
      <c r="F98" s="715"/>
      <c r="G98" s="715"/>
      <c r="H98" s="715"/>
      <c r="I98" s="715"/>
      <c r="J98" s="715"/>
      <c r="K98" s="715"/>
      <c r="L98" s="715"/>
      <c r="M98" s="715"/>
      <c r="N98" s="715"/>
      <c r="O98" s="715"/>
      <c r="P98" s="715"/>
      <c r="Q98" s="715"/>
      <c r="R98" s="715"/>
      <c r="S98" s="715"/>
      <c r="T98" s="715"/>
      <c r="U98" s="715"/>
      <c r="V98" s="31"/>
      <c r="W98" s="16"/>
      <c r="X98" s="16"/>
      <c r="Y98" s="16"/>
      <c r="Z98" s="16"/>
      <c r="AA98" s="16"/>
      <c r="AB98" s="16"/>
      <c r="AC98" s="16"/>
      <c r="AD98" s="16"/>
      <c r="AE98" s="16"/>
      <c r="AF98" s="16"/>
      <c r="AG98" s="83"/>
      <c r="AH98" s="83"/>
      <c r="AI98" s="83"/>
      <c r="AJ98" s="83"/>
      <c r="AK98" s="83"/>
      <c r="AL98" s="83"/>
      <c r="AM98" s="83"/>
      <c r="AN98" s="83"/>
      <c r="AO98" s="83"/>
      <c r="AP98" s="83"/>
      <c r="AQ98" s="83"/>
      <c r="AR98" s="83"/>
      <c r="AS98" s="83"/>
      <c r="AT98" s="83"/>
      <c r="AU98" s="83"/>
      <c r="AV98" s="83"/>
    </row>
    <row r="99" spans="2:48" ht="114" customHeight="1" x14ac:dyDescent="0.25">
      <c r="B99" s="825" t="s">
        <v>341</v>
      </c>
      <c r="C99" s="825"/>
      <c r="D99" s="825"/>
      <c r="E99" s="825"/>
      <c r="F99" s="825"/>
      <c r="G99" s="825"/>
      <c r="H99" s="825"/>
      <c r="I99" s="825"/>
      <c r="J99" s="825"/>
      <c r="K99" s="825"/>
      <c r="L99" s="825"/>
      <c r="M99" s="825"/>
      <c r="N99" s="825"/>
      <c r="O99" s="825"/>
      <c r="P99" s="825"/>
      <c r="Q99" s="825"/>
      <c r="R99" s="825"/>
      <c r="S99" s="825"/>
      <c r="T99" s="825"/>
      <c r="U99" s="825"/>
      <c r="V99" s="825"/>
      <c r="W99" s="825"/>
      <c r="X99" s="825"/>
      <c r="Y99" s="825"/>
      <c r="Z99" s="825"/>
      <c r="AA99" s="825"/>
      <c r="AB99" s="825"/>
      <c r="AC99" s="825"/>
      <c r="AF99" s="1"/>
    </row>
    <row r="100" spans="2:48" ht="30" customHeight="1" x14ac:dyDescent="0.2">
      <c r="I100" s="1"/>
      <c r="J100" s="1"/>
      <c r="K100" s="1"/>
      <c r="L100" s="1"/>
      <c r="M100" s="1"/>
      <c r="N100" s="1"/>
      <c r="O100" s="1"/>
      <c r="P100" s="1"/>
      <c r="Q100" s="1"/>
      <c r="R100" s="1"/>
      <c r="S100" s="1"/>
      <c r="T100" s="1"/>
      <c r="U100" s="1"/>
      <c r="V100" s="1"/>
      <c r="W100" s="1"/>
      <c r="X100" s="1"/>
      <c r="Y100" s="1"/>
      <c r="Z100" s="1"/>
    </row>
    <row r="101" spans="2:48" ht="30" customHeight="1" x14ac:dyDescent="0.2">
      <c r="C101" s="1"/>
      <c r="I101" s="1"/>
      <c r="J101" s="1"/>
      <c r="K101" s="1"/>
      <c r="L101" s="1"/>
      <c r="M101" s="1"/>
      <c r="N101" s="1"/>
      <c r="O101" s="1"/>
      <c r="P101" s="1"/>
      <c r="Q101" s="1"/>
      <c r="R101" s="1"/>
      <c r="S101" s="1"/>
      <c r="T101" s="1"/>
      <c r="U101" s="1"/>
      <c r="V101" s="1"/>
      <c r="W101" s="1"/>
      <c r="X101" s="1"/>
      <c r="Y101" s="1"/>
      <c r="Z101" s="1"/>
    </row>
    <row r="102" spans="2:48" ht="30" customHeight="1" x14ac:dyDescent="0.2">
      <c r="C102" s="1"/>
      <c r="I102" s="1"/>
      <c r="J102" s="1"/>
      <c r="K102" s="1"/>
      <c r="L102" s="1"/>
      <c r="M102" s="1"/>
      <c r="N102" s="1"/>
      <c r="O102" s="1"/>
      <c r="P102" s="1"/>
      <c r="Q102" s="1"/>
      <c r="R102" s="1"/>
      <c r="S102" s="1"/>
      <c r="T102" s="1"/>
      <c r="U102" s="1"/>
      <c r="V102" s="1"/>
      <c r="W102" s="1"/>
      <c r="X102" s="1"/>
      <c r="Y102" s="1"/>
      <c r="Z102" s="1"/>
    </row>
    <row r="103" spans="2:48" ht="45" customHeight="1" x14ac:dyDescent="0.2">
      <c r="C103" s="1"/>
      <c r="I103" s="1"/>
      <c r="J103" s="1"/>
      <c r="K103" s="1"/>
      <c r="L103" s="1"/>
      <c r="M103" s="1"/>
      <c r="N103" s="1"/>
      <c r="O103" s="1"/>
      <c r="P103" s="1"/>
      <c r="Q103" s="1"/>
      <c r="R103" s="1"/>
      <c r="S103" s="1"/>
      <c r="T103" s="1"/>
      <c r="U103" s="1"/>
      <c r="V103" s="1"/>
      <c r="W103" s="1"/>
      <c r="X103" s="1"/>
      <c r="Y103" s="1"/>
      <c r="Z103" s="1"/>
    </row>
    <row r="104" spans="2:48" ht="49.5" customHeight="1" x14ac:dyDescent="0.2">
      <c r="C104" s="1"/>
      <c r="I104" s="1"/>
      <c r="J104" s="1"/>
      <c r="K104" s="1"/>
      <c r="L104" s="1"/>
      <c r="M104" s="1"/>
      <c r="N104" s="1"/>
      <c r="O104" s="1"/>
      <c r="P104" s="1"/>
      <c r="Q104" s="1"/>
      <c r="R104" s="1"/>
      <c r="S104" s="1"/>
      <c r="T104" s="1"/>
      <c r="U104" s="1"/>
      <c r="V104" s="1"/>
      <c r="W104" s="1"/>
      <c r="X104" s="1"/>
      <c r="Y104" s="1"/>
      <c r="Z104" s="1"/>
    </row>
    <row r="105" spans="2:48" ht="51" customHeight="1" x14ac:dyDescent="0.2">
      <c r="C105" s="1"/>
      <c r="E105" s="1"/>
      <c r="F105" s="1"/>
      <c r="G105" s="1"/>
      <c r="H105" s="1"/>
      <c r="I105" s="1"/>
      <c r="J105" s="1"/>
      <c r="K105" s="1"/>
      <c r="L105" s="1"/>
      <c r="M105" s="1"/>
      <c r="N105" s="1"/>
      <c r="O105" s="1"/>
      <c r="P105" s="1"/>
      <c r="Q105" s="1"/>
      <c r="R105" s="1"/>
      <c r="S105" s="1"/>
      <c r="T105" s="1"/>
      <c r="U105" s="1"/>
      <c r="V105" s="1"/>
      <c r="W105" s="1"/>
      <c r="X105" s="1"/>
      <c r="Y105" s="1"/>
      <c r="Z105" s="1"/>
    </row>
    <row r="106" spans="2:48" ht="30" customHeight="1" x14ac:dyDescent="0.2">
      <c r="C106" s="1"/>
      <c r="E106" s="1"/>
      <c r="F106" s="1"/>
      <c r="G106" s="1"/>
      <c r="H106" s="1"/>
      <c r="I106" s="1"/>
      <c r="J106" s="1"/>
      <c r="K106" s="1"/>
      <c r="L106" s="1"/>
      <c r="M106" s="1"/>
      <c r="N106" s="1"/>
      <c r="O106" s="1"/>
      <c r="P106" s="1"/>
      <c r="Q106" s="1"/>
      <c r="R106" s="1"/>
      <c r="S106" s="1"/>
      <c r="T106" s="1"/>
      <c r="U106" s="1"/>
      <c r="V106" s="1"/>
      <c r="W106" s="1"/>
      <c r="X106" s="1"/>
      <c r="Y106" s="1"/>
      <c r="Z106" s="1"/>
    </row>
    <row r="107" spans="2:48" ht="30" customHeight="1" x14ac:dyDescent="0.2">
      <c r="C107" s="1"/>
      <c r="E107" s="1"/>
      <c r="F107" s="1"/>
      <c r="G107" s="1"/>
      <c r="H107" s="1"/>
      <c r="I107" s="1"/>
      <c r="J107" s="1"/>
      <c r="K107" s="1"/>
      <c r="L107" s="1"/>
      <c r="M107" s="1"/>
      <c r="N107" s="1"/>
      <c r="O107" s="1"/>
      <c r="P107" s="1"/>
      <c r="Q107" s="1"/>
      <c r="R107" s="1"/>
      <c r="S107" s="1"/>
      <c r="T107" s="1"/>
      <c r="U107" s="1"/>
      <c r="V107" s="1"/>
      <c r="W107" s="1"/>
      <c r="X107" s="1"/>
      <c r="Y107" s="1"/>
      <c r="Z107" s="1"/>
    </row>
    <row r="108" spans="2:48" ht="30" customHeight="1" x14ac:dyDescent="0.2">
      <c r="C108" s="1"/>
      <c r="E108" s="1"/>
      <c r="F108" s="1"/>
      <c r="G108" s="1"/>
      <c r="H108" s="1"/>
      <c r="I108" s="1"/>
      <c r="J108" s="1"/>
      <c r="K108" s="1"/>
      <c r="L108" s="1"/>
      <c r="M108" s="1"/>
      <c r="N108" s="1"/>
      <c r="O108" s="1"/>
      <c r="P108" s="1"/>
      <c r="Q108" s="1"/>
      <c r="R108" s="1"/>
      <c r="S108" s="1"/>
      <c r="T108" s="1"/>
      <c r="U108" s="1"/>
      <c r="V108" s="1"/>
      <c r="W108" s="1"/>
      <c r="X108" s="1"/>
      <c r="Y108" s="1"/>
      <c r="Z108" s="1"/>
    </row>
    <row r="109" spans="2:48" ht="30" customHeight="1" x14ac:dyDescent="0.2">
      <c r="C109" s="1"/>
      <c r="E109" s="1"/>
      <c r="F109" s="1"/>
      <c r="G109" s="1"/>
      <c r="H109" s="1"/>
      <c r="I109" s="1"/>
      <c r="J109" s="1"/>
      <c r="K109" s="1"/>
      <c r="L109" s="1"/>
      <c r="M109" s="1"/>
      <c r="N109" s="1"/>
      <c r="O109" s="1"/>
      <c r="P109" s="1"/>
      <c r="Q109" s="1"/>
      <c r="R109" s="1"/>
      <c r="S109" s="1"/>
      <c r="T109" s="1"/>
      <c r="U109" s="1"/>
      <c r="V109" s="1"/>
      <c r="W109" s="1"/>
      <c r="X109" s="1"/>
      <c r="Y109" s="1"/>
      <c r="Z109" s="1"/>
    </row>
    <row r="110" spans="2:48" ht="30" customHeight="1" x14ac:dyDescent="0.2">
      <c r="C110" s="1"/>
      <c r="E110" s="1"/>
      <c r="F110" s="1"/>
      <c r="G110" s="1"/>
      <c r="H110" s="1"/>
      <c r="I110" s="1"/>
      <c r="J110" s="1"/>
      <c r="K110" s="1"/>
      <c r="L110" s="1"/>
      <c r="M110" s="1"/>
      <c r="N110" s="1"/>
      <c r="O110" s="1"/>
      <c r="P110" s="1"/>
      <c r="Q110" s="1"/>
      <c r="R110" s="1"/>
      <c r="S110" s="1"/>
      <c r="T110" s="1"/>
      <c r="U110" s="1"/>
      <c r="V110" s="1"/>
      <c r="W110" s="1"/>
      <c r="X110" s="1"/>
      <c r="Y110" s="1"/>
      <c r="Z110" s="1"/>
    </row>
    <row r="111" spans="2:48" ht="30" customHeight="1" x14ac:dyDescent="0.2">
      <c r="C111" s="1"/>
      <c r="E111" s="1"/>
      <c r="F111" s="1"/>
      <c r="G111" s="1"/>
      <c r="H111" s="1"/>
      <c r="I111" s="1"/>
      <c r="J111" s="1"/>
      <c r="K111" s="1"/>
      <c r="L111" s="1"/>
      <c r="M111" s="1"/>
      <c r="N111" s="1"/>
      <c r="O111" s="1"/>
      <c r="P111" s="1"/>
      <c r="Q111" s="1"/>
      <c r="R111" s="1"/>
      <c r="S111" s="1"/>
      <c r="T111" s="1"/>
      <c r="U111" s="1"/>
      <c r="V111" s="1"/>
      <c r="W111" s="1"/>
      <c r="X111" s="1"/>
      <c r="Y111" s="1"/>
      <c r="Z111" s="1"/>
    </row>
    <row r="112" spans="2:48" ht="30" customHeight="1" x14ac:dyDescent="0.2">
      <c r="C112" s="1"/>
      <c r="E112" s="1"/>
      <c r="F112" s="1"/>
      <c r="G112" s="1"/>
      <c r="H112" s="1"/>
      <c r="I112" s="1"/>
      <c r="J112" s="1"/>
      <c r="K112" s="1"/>
      <c r="L112" s="1"/>
      <c r="M112" s="1"/>
      <c r="N112" s="1"/>
      <c r="O112" s="1"/>
      <c r="P112" s="1"/>
      <c r="Q112" s="1"/>
      <c r="R112" s="1"/>
      <c r="S112" s="1"/>
      <c r="T112" s="1"/>
      <c r="U112" s="1"/>
      <c r="V112" s="1"/>
      <c r="W112" s="1"/>
      <c r="X112" s="1"/>
      <c r="Y112" s="1"/>
      <c r="Z112" s="1"/>
    </row>
    <row r="113" spans="3:26" ht="30" customHeight="1" x14ac:dyDescent="0.2">
      <c r="C113" s="1"/>
      <c r="E113" s="1"/>
      <c r="F113" s="1"/>
      <c r="G113" s="1"/>
      <c r="H113" s="1"/>
      <c r="I113" s="1"/>
      <c r="J113" s="1"/>
      <c r="K113" s="1"/>
      <c r="L113" s="1"/>
      <c r="M113" s="1"/>
      <c r="N113" s="1"/>
      <c r="O113" s="1"/>
      <c r="P113" s="1"/>
      <c r="Q113" s="1"/>
      <c r="R113" s="1"/>
      <c r="S113" s="1"/>
      <c r="T113" s="1"/>
      <c r="U113" s="1"/>
      <c r="V113" s="1"/>
      <c r="W113" s="1"/>
      <c r="X113" s="1"/>
      <c r="Y113" s="1"/>
      <c r="Z113" s="1"/>
    </row>
    <row r="114" spans="3:26" ht="30" customHeight="1" x14ac:dyDescent="0.2">
      <c r="C114" s="1"/>
      <c r="E114" s="1"/>
      <c r="F114" s="1"/>
      <c r="G114" s="1"/>
      <c r="H114" s="1"/>
      <c r="I114" s="1"/>
      <c r="J114" s="1"/>
      <c r="K114" s="1"/>
      <c r="L114" s="1"/>
      <c r="M114" s="1"/>
      <c r="N114" s="1"/>
      <c r="O114" s="1"/>
      <c r="P114" s="1"/>
      <c r="Q114" s="1"/>
      <c r="R114" s="1"/>
      <c r="S114" s="1"/>
      <c r="T114" s="1"/>
      <c r="U114" s="1"/>
      <c r="V114" s="1"/>
      <c r="W114" s="1"/>
      <c r="X114" s="1"/>
      <c r="Y114" s="1"/>
      <c r="Z114" s="1"/>
    </row>
    <row r="115" spans="3:26" ht="30" customHeight="1" x14ac:dyDescent="0.2">
      <c r="C115" s="1"/>
      <c r="E115" s="1"/>
      <c r="F115" s="1"/>
      <c r="G115" s="1"/>
      <c r="H115" s="1"/>
      <c r="I115" s="1"/>
      <c r="J115" s="1"/>
      <c r="K115" s="1"/>
      <c r="L115" s="1"/>
      <c r="M115" s="1"/>
      <c r="N115" s="1"/>
      <c r="O115" s="1"/>
      <c r="P115" s="1"/>
      <c r="Q115" s="1"/>
      <c r="R115" s="1"/>
      <c r="S115" s="1"/>
      <c r="T115" s="1"/>
      <c r="U115" s="1"/>
      <c r="V115" s="1"/>
      <c r="W115" s="1"/>
      <c r="X115" s="1"/>
      <c r="Y115" s="1"/>
      <c r="Z115" s="1"/>
    </row>
    <row r="116" spans="3:26" ht="30" customHeight="1" x14ac:dyDescent="0.2">
      <c r="C116" s="1"/>
      <c r="E116" s="1"/>
      <c r="F116" s="1"/>
      <c r="G116" s="1"/>
      <c r="H116" s="1"/>
      <c r="I116" s="1"/>
      <c r="J116" s="1"/>
      <c r="K116" s="1"/>
      <c r="L116" s="1"/>
      <c r="M116" s="1"/>
      <c r="N116" s="1"/>
      <c r="O116" s="1"/>
      <c r="P116" s="1"/>
      <c r="Q116" s="1"/>
      <c r="R116" s="1"/>
      <c r="S116" s="1"/>
      <c r="T116" s="1"/>
      <c r="U116" s="1"/>
      <c r="V116" s="1"/>
      <c r="W116" s="1"/>
      <c r="X116" s="1"/>
      <c r="Y116" s="1"/>
      <c r="Z116" s="1"/>
    </row>
    <row r="117" spans="3:26" ht="30" customHeight="1" x14ac:dyDescent="0.2">
      <c r="C117" s="1"/>
      <c r="E117" s="1"/>
      <c r="F117" s="1"/>
      <c r="G117" s="1"/>
      <c r="H117" s="1"/>
      <c r="I117" s="1"/>
      <c r="J117" s="1"/>
      <c r="K117" s="1"/>
      <c r="L117" s="1"/>
      <c r="M117" s="1"/>
      <c r="N117" s="1"/>
      <c r="O117" s="1"/>
      <c r="P117" s="1"/>
      <c r="Q117" s="1"/>
      <c r="R117" s="1"/>
      <c r="S117" s="1"/>
      <c r="T117" s="1"/>
      <c r="U117" s="1"/>
      <c r="V117" s="1"/>
      <c r="W117" s="1"/>
      <c r="X117" s="1"/>
      <c r="Y117" s="1"/>
      <c r="Z117" s="1"/>
    </row>
    <row r="118" spans="3:26" ht="30" customHeight="1" x14ac:dyDescent="0.2">
      <c r="C118" s="1"/>
      <c r="E118" s="1"/>
      <c r="F118" s="1"/>
      <c r="G118" s="1"/>
      <c r="H118" s="1"/>
      <c r="I118" s="1"/>
      <c r="J118" s="1"/>
      <c r="K118" s="1"/>
      <c r="L118" s="1"/>
      <c r="M118" s="1"/>
      <c r="N118" s="1"/>
      <c r="O118" s="1"/>
      <c r="P118" s="1"/>
      <c r="Q118" s="1"/>
      <c r="R118" s="1"/>
      <c r="S118" s="1"/>
      <c r="T118" s="1"/>
      <c r="U118" s="1"/>
      <c r="V118" s="1"/>
      <c r="W118" s="1"/>
      <c r="X118" s="1"/>
      <c r="Y118" s="1"/>
      <c r="Z118" s="1"/>
    </row>
    <row r="119" spans="3:26" ht="30" customHeight="1" x14ac:dyDescent="0.2">
      <c r="C119" s="1"/>
      <c r="E119" s="1"/>
      <c r="F119" s="1"/>
      <c r="G119" s="1"/>
      <c r="H119" s="1"/>
      <c r="I119" s="1"/>
      <c r="J119" s="1"/>
      <c r="K119" s="1"/>
      <c r="L119" s="1"/>
      <c r="M119" s="1"/>
      <c r="N119" s="1"/>
      <c r="O119" s="1"/>
      <c r="P119" s="1"/>
      <c r="Q119" s="1"/>
      <c r="R119" s="1"/>
      <c r="S119" s="1"/>
      <c r="T119" s="1"/>
      <c r="U119" s="1"/>
      <c r="V119" s="1"/>
      <c r="W119" s="1"/>
      <c r="X119" s="1"/>
      <c r="Y119" s="1"/>
      <c r="Z119" s="1"/>
    </row>
    <row r="120" spans="3:26" ht="30" customHeight="1" x14ac:dyDescent="0.2">
      <c r="C120" s="1"/>
      <c r="E120" s="1"/>
      <c r="F120" s="1"/>
      <c r="G120" s="1"/>
      <c r="H120" s="1"/>
      <c r="I120" s="1"/>
      <c r="J120" s="1"/>
      <c r="K120" s="1"/>
      <c r="L120" s="1"/>
      <c r="M120" s="1"/>
      <c r="N120" s="1"/>
      <c r="O120" s="1"/>
      <c r="P120" s="1"/>
      <c r="Q120" s="1"/>
      <c r="R120" s="1"/>
      <c r="S120" s="1"/>
      <c r="T120" s="1"/>
      <c r="U120" s="1"/>
      <c r="V120" s="1"/>
      <c r="W120" s="1"/>
      <c r="X120" s="1"/>
      <c r="Y120" s="1"/>
      <c r="Z120" s="1"/>
    </row>
    <row r="121" spans="3:26" ht="30" customHeight="1" x14ac:dyDescent="0.2">
      <c r="C121" s="1"/>
      <c r="E121" s="1"/>
      <c r="F121" s="1"/>
      <c r="G121" s="1"/>
      <c r="H121" s="1"/>
      <c r="I121" s="1"/>
      <c r="J121" s="1"/>
      <c r="K121" s="1"/>
      <c r="L121" s="1"/>
      <c r="M121" s="1"/>
      <c r="N121" s="1"/>
      <c r="O121" s="1"/>
      <c r="P121" s="1"/>
      <c r="Q121" s="1"/>
      <c r="R121" s="1"/>
      <c r="S121" s="1"/>
      <c r="T121" s="1"/>
      <c r="U121" s="1"/>
      <c r="V121" s="1"/>
      <c r="W121" s="1"/>
      <c r="X121" s="1"/>
      <c r="Y121" s="1"/>
      <c r="Z121" s="1"/>
    </row>
    <row r="122" spans="3:26" ht="30" customHeight="1" x14ac:dyDescent="0.2">
      <c r="C122" s="1"/>
      <c r="E122" s="1"/>
      <c r="F122" s="1"/>
      <c r="G122" s="1"/>
      <c r="H122" s="1"/>
      <c r="I122" s="1"/>
      <c r="J122" s="1"/>
      <c r="K122" s="1"/>
      <c r="L122" s="1"/>
      <c r="M122" s="1"/>
      <c r="N122" s="1"/>
      <c r="O122" s="1"/>
      <c r="P122" s="1"/>
      <c r="Q122" s="1"/>
      <c r="R122" s="1"/>
      <c r="S122" s="1"/>
      <c r="T122" s="1"/>
      <c r="U122" s="1"/>
      <c r="V122" s="1"/>
      <c r="W122" s="1"/>
      <c r="X122" s="1"/>
      <c r="Y122" s="1"/>
      <c r="Z122" s="1"/>
    </row>
    <row r="123" spans="3:26" ht="40.15" customHeight="1" x14ac:dyDescent="0.2">
      <c r="C123" s="1"/>
      <c r="E123" s="1"/>
      <c r="F123" s="1"/>
      <c r="G123" s="1"/>
      <c r="H123" s="1"/>
      <c r="I123" s="1"/>
      <c r="J123" s="1"/>
      <c r="K123" s="1"/>
      <c r="L123" s="1"/>
      <c r="M123" s="1"/>
      <c r="N123" s="1"/>
      <c r="O123" s="1"/>
      <c r="P123" s="1"/>
      <c r="Q123" s="1"/>
      <c r="R123" s="1"/>
      <c r="S123" s="1"/>
      <c r="T123" s="1"/>
      <c r="U123" s="1"/>
      <c r="V123" s="1"/>
      <c r="W123" s="1"/>
      <c r="X123" s="1"/>
      <c r="Y123" s="1"/>
      <c r="Z123" s="1"/>
    </row>
    <row r="124" spans="3:26" ht="60.75" customHeight="1" x14ac:dyDescent="0.2">
      <c r="C124" s="1"/>
      <c r="E124" s="1"/>
      <c r="F124" s="1"/>
      <c r="G124" s="1"/>
      <c r="H124" s="1"/>
      <c r="I124" s="1"/>
      <c r="J124" s="1"/>
      <c r="K124" s="1"/>
      <c r="L124" s="1"/>
      <c r="M124" s="1"/>
      <c r="N124" s="1"/>
      <c r="O124" s="1"/>
      <c r="P124" s="1"/>
      <c r="Q124" s="1"/>
      <c r="R124" s="1"/>
      <c r="S124" s="1"/>
      <c r="T124" s="1"/>
      <c r="U124" s="1"/>
      <c r="V124" s="1"/>
      <c r="W124" s="1"/>
      <c r="X124" s="1"/>
      <c r="Y124" s="1"/>
      <c r="Z124" s="1"/>
    </row>
    <row r="125" spans="3:26" ht="15" customHeight="1" x14ac:dyDescent="0.2">
      <c r="C125" s="1"/>
      <c r="E125" s="1"/>
      <c r="F125" s="1"/>
      <c r="G125" s="1"/>
      <c r="H125" s="1"/>
      <c r="I125" s="1"/>
      <c r="J125" s="1"/>
      <c r="K125" s="1"/>
      <c r="L125" s="1"/>
      <c r="M125" s="1"/>
      <c r="N125" s="1"/>
      <c r="O125" s="1"/>
      <c r="P125" s="1"/>
      <c r="Q125" s="1"/>
      <c r="R125" s="1"/>
      <c r="S125" s="1"/>
      <c r="T125" s="1"/>
      <c r="U125" s="1"/>
      <c r="V125" s="1"/>
      <c r="W125" s="1"/>
      <c r="X125" s="1"/>
      <c r="Y125" s="1"/>
      <c r="Z125" s="1"/>
    </row>
    <row r="126" spans="3:26" ht="30" customHeight="1" x14ac:dyDescent="0.2">
      <c r="C126" s="1"/>
      <c r="E126" s="1"/>
      <c r="F126" s="1"/>
      <c r="G126" s="1"/>
      <c r="H126" s="1"/>
      <c r="I126" s="1"/>
      <c r="J126" s="1"/>
      <c r="K126" s="1"/>
      <c r="L126" s="1"/>
      <c r="M126" s="1"/>
      <c r="N126" s="1"/>
      <c r="O126" s="1"/>
      <c r="P126" s="1"/>
      <c r="Q126" s="1"/>
      <c r="R126" s="1"/>
      <c r="S126" s="1"/>
      <c r="T126" s="1"/>
      <c r="U126" s="1"/>
      <c r="V126" s="1"/>
      <c r="W126" s="1"/>
      <c r="X126" s="1"/>
      <c r="Y126" s="1"/>
      <c r="Z126" s="1"/>
    </row>
    <row r="127" spans="3:26" ht="30" customHeight="1" x14ac:dyDescent="0.2">
      <c r="C127" s="1"/>
      <c r="E127" s="1"/>
      <c r="F127" s="1"/>
      <c r="G127" s="1"/>
      <c r="H127" s="1"/>
      <c r="I127" s="1"/>
      <c r="J127" s="1"/>
      <c r="K127" s="1"/>
      <c r="L127" s="1"/>
      <c r="M127" s="1"/>
      <c r="N127" s="1"/>
      <c r="O127" s="1"/>
      <c r="P127" s="1"/>
      <c r="Q127" s="1"/>
      <c r="R127" s="1"/>
      <c r="S127" s="1"/>
      <c r="T127" s="1"/>
      <c r="U127" s="1"/>
      <c r="V127" s="1"/>
      <c r="W127" s="1"/>
      <c r="X127" s="1"/>
      <c r="Y127" s="1"/>
      <c r="Z127" s="1"/>
    </row>
    <row r="128" spans="3:26" ht="30" customHeight="1" x14ac:dyDescent="0.2">
      <c r="C128" s="1"/>
      <c r="E128" s="1"/>
      <c r="F128" s="1"/>
      <c r="G128" s="1"/>
      <c r="H128" s="1"/>
      <c r="I128" s="1"/>
      <c r="J128" s="1"/>
      <c r="K128" s="1"/>
      <c r="L128" s="1"/>
      <c r="M128" s="1"/>
      <c r="N128" s="1"/>
      <c r="O128" s="1"/>
      <c r="P128" s="1"/>
      <c r="Q128" s="1"/>
      <c r="R128" s="1"/>
      <c r="S128" s="1"/>
      <c r="T128" s="1"/>
      <c r="U128" s="1"/>
      <c r="V128" s="1"/>
      <c r="W128" s="1"/>
      <c r="X128" s="1"/>
      <c r="Y128" s="1"/>
      <c r="Z128" s="1"/>
    </row>
    <row r="129" spans="3:26" ht="30" customHeight="1" x14ac:dyDescent="0.2">
      <c r="C129" s="1"/>
      <c r="E129" s="1"/>
      <c r="F129" s="1"/>
      <c r="G129" s="1"/>
      <c r="H129" s="1"/>
      <c r="I129" s="1"/>
      <c r="J129" s="1"/>
      <c r="K129" s="1"/>
      <c r="L129" s="1"/>
      <c r="M129" s="1"/>
      <c r="N129" s="1"/>
      <c r="O129" s="1"/>
      <c r="P129" s="1"/>
      <c r="Q129" s="1"/>
      <c r="R129" s="1"/>
      <c r="S129" s="1"/>
      <c r="T129" s="1"/>
      <c r="U129" s="1"/>
      <c r="V129" s="1"/>
      <c r="W129" s="1"/>
      <c r="X129" s="1"/>
      <c r="Y129" s="1"/>
      <c r="Z129" s="1"/>
    </row>
    <row r="130" spans="3:26" ht="30" customHeight="1" x14ac:dyDescent="0.2">
      <c r="C130" s="1"/>
      <c r="E130" s="1"/>
      <c r="F130" s="1"/>
      <c r="G130" s="1"/>
      <c r="H130" s="1"/>
      <c r="I130" s="1"/>
      <c r="J130" s="1"/>
      <c r="K130" s="1"/>
      <c r="L130" s="1"/>
      <c r="M130" s="1"/>
      <c r="N130" s="1"/>
      <c r="O130" s="1"/>
      <c r="P130" s="1"/>
      <c r="Q130" s="1"/>
      <c r="R130" s="1"/>
      <c r="S130" s="1"/>
      <c r="T130" s="1"/>
      <c r="U130" s="1"/>
      <c r="V130" s="1"/>
      <c r="W130" s="1"/>
      <c r="X130" s="1"/>
      <c r="Y130" s="1"/>
      <c r="Z130" s="1"/>
    </row>
    <row r="131" spans="3:26" ht="30" customHeight="1" x14ac:dyDescent="0.2">
      <c r="C131" s="1"/>
      <c r="E131" s="1"/>
      <c r="F131" s="1"/>
      <c r="G131" s="1"/>
      <c r="H131" s="1"/>
      <c r="I131" s="1"/>
      <c r="J131" s="1"/>
      <c r="K131" s="1"/>
      <c r="L131" s="1"/>
      <c r="M131" s="1"/>
      <c r="N131" s="1"/>
      <c r="O131" s="1"/>
      <c r="P131" s="1"/>
      <c r="Q131" s="1"/>
      <c r="R131" s="1"/>
      <c r="S131" s="1"/>
      <c r="T131" s="1"/>
      <c r="U131" s="1"/>
      <c r="V131" s="1"/>
      <c r="W131" s="1"/>
      <c r="X131" s="1"/>
      <c r="Y131" s="1"/>
      <c r="Z131" s="1"/>
    </row>
    <row r="132" spans="3:26" ht="30" customHeight="1" x14ac:dyDescent="0.2">
      <c r="C132" s="1"/>
      <c r="E132" s="1"/>
      <c r="F132" s="1"/>
      <c r="G132" s="1"/>
      <c r="H132" s="1"/>
      <c r="I132" s="1"/>
      <c r="J132" s="1"/>
      <c r="K132" s="1"/>
      <c r="L132" s="1"/>
      <c r="M132" s="1"/>
      <c r="N132" s="1"/>
      <c r="O132" s="1"/>
      <c r="P132" s="1"/>
      <c r="Q132" s="1"/>
      <c r="R132" s="1"/>
      <c r="S132" s="1"/>
      <c r="T132" s="1"/>
      <c r="U132" s="1"/>
      <c r="V132" s="1"/>
      <c r="W132" s="1"/>
      <c r="X132" s="1"/>
      <c r="Y132" s="1"/>
      <c r="Z132" s="1"/>
    </row>
    <row r="133" spans="3:26" ht="30" customHeight="1" x14ac:dyDescent="0.2">
      <c r="C133" s="1"/>
      <c r="E133" s="1"/>
      <c r="F133" s="1"/>
      <c r="G133" s="1"/>
      <c r="H133" s="1"/>
      <c r="I133" s="1"/>
      <c r="J133" s="1"/>
      <c r="K133" s="1"/>
      <c r="L133" s="1"/>
      <c r="M133" s="1"/>
      <c r="N133" s="1"/>
      <c r="O133" s="1"/>
      <c r="P133" s="1"/>
      <c r="Q133" s="1"/>
      <c r="R133" s="1"/>
      <c r="S133" s="1"/>
      <c r="T133" s="1"/>
      <c r="U133" s="1"/>
      <c r="V133" s="1"/>
      <c r="W133" s="1"/>
      <c r="X133" s="1"/>
      <c r="Y133" s="1"/>
      <c r="Z133" s="1"/>
    </row>
    <row r="134" spans="3:26" ht="30" customHeight="1" x14ac:dyDescent="0.2">
      <c r="C134" s="1"/>
      <c r="E134" s="1"/>
      <c r="F134" s="1"/>
      <c r="G134" s="1"/>
      <c r="H134" s="1"/>
      <c r="I134" s="1"/>
      <c r="J134" s="1"/>
      <c r="K134" s="1"/>
      <c r="L134" s="1"/>
      <c r="M134" s="1"/>
      <c r="N134" s="1"/>
      <c r="O134" s="1"/>
      <c r="P134" s="1"/>
      <c r="Q134" s="1"/>
      <c r="R134" s="1"/>
      <c r="S134" s="1"/>
      <c r="T134" s="1"/>
      <c r="U134" s="1"/>
      <c r="V134" s="1"/>
      <c r="W134" s="1"/>
      <c r="X134" s="1"/>
      <c r="Y134" s="1"/>
      <c r="Z134" s="1"/>
    </row>
    <row r="135" spans="3:26" ht="30" customHeight="1" x14ac:dyDescent="0.2">
      <c r="C135" s="1"/>
      <c r="E135" s="1"/>
      <c r="F135" s="1"/>
      <c r="G135" s="1"/>
      <c r="H135" s="1"/>
      <c r="I135" s="1"/>
      <c r="J135" s="1"/>
      <c r="K135" s="1"/>
      <c r="L135" s="1"/>
      <c r="M135" s="1"/>
      <c r="N135" s="1"/>
      <c r="O135" s="1"/>
      <c r="P135" s="1"/>
      <c r="Q135" s="1"/>
      <c r="R135" s="1"/>
      <c r="S135" s="1"/>
      <c r="T135" s="1"/>
      <c r="U135" s="1"/>
      <c r="V135" s="1"/>
      <c r="W135" s="1"/>
      <c r="X135" s="1"/>
      <c r="Y135" s="1"/>
      <c r="Z135" s="1"/>
    </row>
    <row r="136" spans="3:26" ht="30" customHeight="1" x14ac:dyDescent="0.2">
      <c r="C136" s="1"/>
      <c r="E136" s="1"/>
      <c r="F136" s="1"/>
      <c r="G136" s="1"/>
      <c r="H136" s="1"/>
      <c r="I136" s="1"/>
      <c r="J136" s="1"/>
      <c r="K136" s="1"/>
      <c r="L136" s="1"/>
      <c r="M136" s="1"/>
      <c r="N136" s="1"/>
      <c r="O136" s="1"/>
      <c r="P136" s="1"/>
      <c r="Q136" s="1"/>
      <c r="R136" s="1"/>
      <c r="S136" s="1"/>
      <c r="T136" s="1"/>
      <c r="U136" s="1"/>
      <c r="V136" s="1"/>
      <c r="W136" s="1"/>
      <c r="X136" s="1"/>
      <c r="Y136" s="1"/>
      <c r="Z136" s="1"/>
    </row>
    <row r="137" spans="3:26" ht="30" customHeight="1" x14ac:dyDescent="0.2">
      <c r="C137" s="1"/>
      <c r="E137" s="1"/>
      <c r="F137" s="1"/>
      <c r="G137" s="1"/>
      <c r="H137" s="1"/>
      <c r="I137" s="1"/>
      <c r="J137" s="1"/>
      <c r="K137" s="1"/>
      <c r="L137" s="1"/>
      <c r="M137" s="1"/>
      <c r="N137" s="1"/>
      <c r="O137" s="1"/>
      <c r="P137" s="1"/>
      <c r="Q137" s="1"/>
      <c r="R137" s="1"/>
      <c r="S137" s="1"/>
      <c r="T137" s="1"/>
      <c r="U137" s="1"/>
      <c r="V137" s="1"/>
      <c r="W137" s="1"/>
      <c r="X137" s="1"/>
      <c r="Y137" s="1"/>
      <c r="Z137" s="1"/>
    </row>
    <row r="138" spans="3:26" ht="30" customHeight="1" x14ac:dyDescent="0.2">
      <c r="C138" s="1"/>
      <c r="E138" s="1"/>
      <c r="F138" s="1"/>
      <c r="G138" s="1"/>
      <c r="H138" s="1"/>
      <c r="I138" s="1"/>
      <c r="J138" s="1"/>
      <c r="K138" s="1"/>
      <c r="L138" s="1"/>
      <c r="M138" s="1"/>
      <c r="N138" s="1"/>
      <c r="O138" s="1"/>
      <c r="P138" s="1"/>
      <c r="Q138" s="1"/>
      <c r="R138" s="1"/>
      <c r="S138" s="1"/>
      <c r="T138" s="1"/>
      <c r="U138" s="1"/>
      <c r="V138" s="1"/>
      <c r="W138" s="1"/>
      <c r="X138" s="1"/>
      <c r="Y138" s="1"/>
      <c r="Z138" s="1"/>
    </row>
    <row r="139" spans="3:26" ht="30" customHeight="1" x14ac:dyDescent="0.2">
      <c r="C139" s="1"/>
      <c r="E139" s="1"/>
      <c r="F139" s="1"/>
      <c r="G139" s="1"/>
      <c r="H139" s="1"/>
      <c r="I139" s="1"/>
      <c r="J139" s="1"/>
      <c r="K139" s="1"/>
      <c r="L139" s="1"/>
      <c r="M139" s="1"/>
      <c r="N139" s="1"/>
      <c r="O139" s="1"/>
      <c r="P139" s="1"/>
      <c r="Q139" s="1"/>
      <c r="R139" s="1"/>
      <c r="S139" s="1"/>
      <c r="T139" s="1"/>
      <c r="U139" s="1"/>
      <c r="V139" s="1"/>
      <c r="W139" s="1"/>
      <c r="X139" s="1"/>
      <c r="Y139" s="1"/>
      <c r="Z139" s="1"/>
    </row>
    <row r="140" spans="3:26" x14ac:dyDescent="0.2">
      <c r="C140" s="1"/>
      <c r="E140" s="1"/>
      <c r="F140" s="1"/>
      <c r="G140" s="1"/>
      <c r="H140" s="1"/>
      <c r="I140" s="1"/>
      <c r="J140" s="1"/>
      <c r="K140" s="1"/>
      <c r="L140" s="1"/>
      <c r="M140" s="1"/>
      <c r="N140" s="1"/>
      <c r="O140" s="1"/>
      <c r="P140" s="1"/>
      <c r="Q140" s="1"/>
      <c r="R140" s="1"/>
      <c r="S140" s="1"/>
      <c r="T140" s="1"/>
      <c r="U140" s="1"/>
      <c r="V140" s="1"/>
      <c r="W140" s="1"/>
      <c r="X140" s="1"/>
      <c r="Y140" s="1"/>
      <c r="Z140" s="1"/>
    </row>
    <row r="141" spans="3:26" x14ac:dyDescent="0.2">
      <c r="C141" s="1"/>
      <c r="E141" s="1"/>
      <c r="F141" s="1"/>
      <c r="G141" s="1"/>
      <c r="H141" s="1"/>
      <c r="I141" s="1"/>
      <c r="J141" s="1"/>
      <c r="K141" s="1"/>
      <c r="L141" s="1"/>
      <c r="M141" s="1"/>
      <c r="N141" s="1"/>
      <c r="O141" s="1"/>
      <c r="P141" s="1"/>
      <c r="Q141" s="1"/>
      <c r="R141" s="1"/>
      <c r="S141" s="1"/>
      <c r="T141" s="1"/>
      <c r="U141" s="1"/>
      <c r="V141" s="1"/>
      <c r="W141" s="1"/>
      <c r="X141" s="1"/>
      <c r="Y141" s="1"/>
      <c r="Z141" s="1"/>
    </row>
    <row r="142" spans="3:26" x14ac:dyDescent="0.2">
      <c r="C142" s="1"/>
      <c r="E142" s="1"/>
      <c r="F142" s="1"/>
      <c r="G142" s="1"/>
      <c r="H142" s="1"/>
      <c r="I142" s="1"/>
      <c r="J142" s="1"/>
      <c r="K142" s="1"/>
      <c r="L142" s="1"/>
      <c r="M142" s="1"/>
      <c r="N142" s="1"/>
      <c r="O142" s="1"/>
      <c r="P142" s="1"/>
      <c r="Q142" s="1"/>
      <c r="R142" s="1"/>
      <c r="S142" s="1"/>
      <c r="T142" s="1"/>
      <c r="U142" s="1"/>
      <c r="V142" s="1"/>
      <c r="W142" s="1"/>
      <c r="X142" s="1"/>
      <c r="Y142" s="1"/>
      <c r="Z142" s="1"/>
    </row>
    <row r="143" spans="3:26" x14ac:dyDescent="0.2">
      <c r="C143" s="1"/>
      <c r="E143" s="1"/>
      <c r="F143" s="1"/>
      <c r="G143" s="1"/>
      <c r="H143" s="1"/>
      <c r="I143" s="1"/>
      <c r="J143" s="1"/>
      <c r="K143" s="1"/>
      <c r="L143" s="1"/>
      <c r="M143" s="1"/>
      <c r="N143" s="1"/>
      <c r="O143" s="1"/>
      <c r="P143" s="1"/>
      <c r="Q143" s="1"/>
      <c r="R143" s="1"/>
      <c r="S143" s="1"/>
      <c r="T143" s="1"/>
      <c r="U143" s="1"/>
      <c r="V143" s="1"/>
      <c r="W143" s="1"/>
      <c r="X143" s="1"/>
      <c r="Y143" s="1"/>
      <c r="Z143" s="1"/>
    </row>
    <row r="144" spans="3:26" x14ac:dyDescent="0.2">
      <c r="C144" s="1"/>
      <c r="E144" s="1"/>
      <c r="F144" s="1"/>
      <c r="G144" s="1"/>
      <c r="H144" s="1"/>
      <c r="I144" s="1"/>
      <c r="J144" s="1"/>
      <c r="K144" s="1"/>
      <c r="L144" s="1"/>
      <c r="M144" s="1"/>
      <c r="N144" s="1"/>
      <c r="O144" s="1"/>
      <c r="P144" s="1"/>
      <c r="Q144" s="1"/>
      <c r="R144" s="1"/>
      <c r="S144" s="1"/>
      <c r="T144" s="1"/>
      <c r="U144" s="1"/>
      <c r="V144" s="1"/>
      <c r="W144" s="1"/>
      <c r="X144" s="1"/>
      <c r="Y144" s="1"/>
      <c r="Z144" s="1"/>
    </row>
    <row r="145" spans="3:26" x14ac:dyDescent="0.2">
      <c r="C145" s="1"/>
      <c r="E145" s="1"/>
      <c r="F145" s="1"/>
      <c r="G145" s="1"/>
      <c r="H145" s="1"/>
      <c r="I145" s="1"/>
      <c r="J145" s="1"/>
      <c r="K145" s="1"/>
      <c r="L145" s="1"/>
      <c r="M145" s="1"/>
      <c r="N145" s="1"/>
      <c r="O145" s="1"/>
      <c r="P145" s="1"/>
      <c r="Q145" s="1"/>
      <c r="R145" s="1"/>
      <c r="S145" s="1"/>
      <c r="T145" s="1"/>
      <c r="U145" s="1"/>
      <c r="V145" s="1"/>
      <c r="W145" s="1"/>
      <c r="X145" s="1"/>
      <c r="Y145" s="1"/>
      <c r="Z145" s="1"/>
    </row>
    <row r="146" spans="3:26" x14ac:dyDescent="0.2">
      <c r="C146" s="1"/>
      <c r="E146" s="1"/>
      <c r="F146" s="1"/>
      <c r="G146" s="1"/>
      <c r="H146" s="1"/>
      <c r="I146" s="1"/>
      <c r="J146" s="1"/>
      <c r="K146" s="1"/>
      <c r="L146" s="1"/>
      <c r="M146" s="1"/>
      <c r="N146" s="1"/>
      <c r="O146" s="1"/>
      <c r="P146" s="1"/>
      <c r="Q146" s="1"/>
      <c r="R146" s="1"/>
      <c r="S146" s="1"/>
      <c r="T146" s="1"/>
      <c r="U146" s="1"/>
      <c r="V146" s="1"/>
      <c r="W146" s="1"/>
      <c r="X146" s="1"/>
      <c r="Y146" s="1"/>
      <c r="Z146" s="1"/>
    </row>
    <row r="147" spans="3:26" x14ac:dyDescent="0.2">
      <c r="C147" s="1"/>
      <c r="E147" s="1"/>
      <c r="F147" s="1"/>
      <c r="G147" s="1"/>
      <c r="H147" s="1"/>
      <c r="I147" s="1"/>
      <c r="J147" s="1"/>
      <c r="K147" s="1"/>
      <c r="L147" s="1"/>
      <c r="M147" s="1"/>
      <c r="N147" s="1"/>
      <c r="O147" s="1"/>
      <c r="P147" s="1"/>
      <c r="Q147" s="1"/>
      <c r="R147" s="1"/>
      <c r="S147" s="1"/>
      <c r="T147" s="1"/>
      <c r="U147" s="1"/>
      <c r="V147" s="1"/>
      <c r="W147" s="1"/>
      <c r="X147" s="1"/>
      <c r="Y147" s="1"/>
      <c r="Z147" s="1"/>
    </row>
    <row r="148" spans="3:26" x14ac:dyDescent="0.2">
      <c r="C148" s="1"/>
      <c r="E148" s="1"/>
      <c r="F148" s="1"/>
      <c r="G148" s="1"/>
      <c r="H148" s="1"/>
      <c r="I148" s="1"/>
      <c r="J148" s="1"/>
      <c r="K148" s="1"/>
      <c r="L148" s="1"/>
      <c r="M148" s="1"/>
      <c r="N148" s="1"/>
      <c r="O148" s="1"/>
      <c r="P148" s="1"/>
      <c r="Q148" s="1"/>
      <c r="R148" s="1"/>
      <c r="S148" s="1"/>
      <c r="T148" s="1"/>
      <c r="U148" s="1"/>
      <c r="V148" s="1"/>
      <c r="W148" s="1"/>
      <c r="X148" s="1"/>
      <c r="Y148" s="1"/>
      <c r="Z148" s="1"/>
    </row>
    <row r="149" spans="3:26" x14ac:dyDescent="0.2">
      <c r="C149" s="1"/>
      <c r="E149" s="1"/>
      <c r="F149" s="1"/>
      <c r="G149" s="1"/>
      <c r="H149" s="1"/>
      <c r="I149" s="1"/>
      <c r="J149" s="1"/>
      <c r="K149" s="1"/>
      <c r="L149" s="1"/>
      <c r="M149" s="1"/>
      <c r="N149" s="1"/>
      <c r="O149" s="1"/>
      <c r="P149" s="1"/>
      <c r="Q149" s="1"/>
      <c r="R149" s="1"/>
      <c r="S149" s="1"/>
      <c r="T149" s="1"/>
      <c r="U149" s="1"/>
      <c r="V149" s="1"/>
      <c r="W149" s="1"/>
      <c r="X149" s="1"/>
      <c r="Y149" s="1"/>
      <c r="Z149" s="1"/>
    </row>
    <row r="150" spans="3:26" x14ac:dyDescent="0.2">
      <c r="C150" s="1"/>
      <c r="E150" s="1"/>
      <c r="F150" s="1"/>
      <c r="G150" s="1"/>
      <c r="H150" s="1"/>
      <c r="I150" s="1"/>
      <c r="J150" s="1"/>
      <c r="K150" s="1"/>
      <c r="L150" s="1"/>
      <c r="M150" s="1"/>
      <c r="N150" s="1"/>
      <c r="O150" s="1"/>
      <c r="P150" s="1"/>
      <c r="Q150" s="1"/>
      <c r="R150" s="1"/>
      <c r="S150" s="1"/>
      <c r="T150" s="1"/>
      <c r="U150" s="1"/>
      <c r="V150" s="1"/>
      <c r="W150" s="1"/>
      <c r="X150" s="1"/>
      <c r="Y150" s="1"/>
      <c r="Z150" s="1"/>
    </row>
    <row r="151" spans="3:26" x14ac:dyDescent="0.2">
      <c r="C151" s="1"/>
      <c r="E151" s="1"/>
      <c r="F151" s="1"/>
      <c r="G151" s="1"/>
      <c r="H151" s="1"/>
      <c r="I151" s="1"/>
      <c r="J151" s="1"/>
      <c r="K151" s="1"/>
      <c r="L151" s="1"/>
      <c r="M151" s="1"/>
      <c r="N151" s="1"/>
      <c r="O151" s="1"/>
      <c r="P151" s="1"/>
      <c r="Q151" s="1"/>
      <c r="R151" s="1"/>
      <c r="S151" s="1"/>
      <c r="T151" s="1"/>
      <c r="U151" s="1"/>
      <c r="V151" s="1"/>
      <c r="W151" s="1"/>
      <c r="X151" s="1"/>
      <c r="Y151" s="1"/>
      <c r="Z151" s="1"/>
    </row>
    <row r="152" spans="3:26" x14ac:dyDescent="0.2">
      <c r="C152" s="1"/>
      <c r="E152" s="1"/>
      <c r="F152" s="1"/>
      <c r="G152" s="1"/>
      <c r="H152" s="1"/>
      <c r="I152" s="1"/>
      <c r="J152" s="1"/>
      <c r="K152" s="1"/>
      <c r="L152" s="1"/>
      <c r="M152" s="1"/>
      <c r="N152" s="1"/>
      <c r="O152" s="1"/>
      <c r="P152" s="1"/>
      <c r="Q152" s="1"/>
      <c r="R152" s="1"/>
      <c r="S152" s="1"/>
      <c r="T152" s="1"/>
      <c r="U152" s="1"/>
      <c r="V152" s="1"/>
      <c r="W152" s="1"/>
      <c r="X152" s="1"/>
      <c r="Y152" s="1"/>
      <c r="Z152" s="1"/>
    </row>
    <row r="153" spans="3:26" x14ac:dyDescent="0.2">
      <c r="C153" s="1"/>
      <c r="E153" s="1"/>
      <c r="F153" s="1"/>
      <c r="G153" s="1"/>
      <c r="H153" s="1"/>
      <c r="I153" s="1"/>
      <c r="J153" s="1"/>
      <c r="K153" s="1"/>
      <c r="L153" s="1"/>
      <c r="M153" s="1"/>
      <c r="N153" s="1"/>
      <c r="O153" s="1"/>
      <c r="P153" s="1"/>
      <c r="Q153" s="1"/>
      <c r="R153" s="1"/>
      <c r="S153" s="1"/>
      <c r="T153" s="1"/>
      <c r="U153" s="1"/>
      <c r="V153" s="1"/>
      <c r="W153" s="1"/>
      <c r="X153" s="1"/>
      <c r="Y153" s="1"/>
      <c r="Z153" s="1"/>
    </row>
    <row r="154" spans="3:26" x14ac:dyDescent="0.2">
      <c r="C154" s="1"/>
    </row>
    <row r="155" spans="3:26" x14ac:dyDescent="0.2">
      <c r="C155" s="1"/>
    </row>
    <row r="156" spans="3:26" ht="30" customHeight="1" x14ac:dyDescent="0.2">
      <c r="C156" s="1"/>
    </row>
    <row r="157" spans="3:26" ht="30" customHeight="1" x14ac:dyDescent="0.2">
      <c r="C157" s="1"/>
    </row>
    <row r="158" spans="3:26" ht="30" customHeight="1" x14ac:dyDescent="0.2">
      <c r="C158" s="1"/>
    </row>
    <row r="159" spans="3:26" ht="30" customHeight="1" x14ac:dyDescent="0.2">
      <c r="C159" s="1"/>
    </row>
    <row r="160" spans="3:26" ht="30" customHeight="1" x14ac:dyDescent="0.2">
      <c r="C160" s="1"/>
    </row>
    <row r="161" spans="3:26" ht="30" customHeight="1" x14ac:dyDescent="0.2">
      <c r="C161" s="1"/>
    </row>
    <row r="162" spans="3:26" ht="15" customHeight="1" x14ac:dyDescent="0.2">
      <c r="C162" s="1"/>
    </row>
    <row r="163" spans="3:26" ht="30" customHeight="1" x14ac:dyDescent="0.2">
      <c r="C163" s="1"/>
      <c r="E163" s="1"/>
      <c r="F163" s="1"/>
      <c r="G163" s="1"/>
      <c r="H163" s="1"/>
      <c r="I163" s="1"/>
      <c r="J163" s="1"/>
      <c r="K163" s="1"/>
      <c r="L163" s="1"/>
      <c r="M163" s="1"/>
      <c r="N163" s="1"/>
      <c r="O163" s="1"/>
      <c r="P163" s="1"/>
      <c r="Q163" s="1"/>
      <c r="R163" s="1"/>
      <c r="S163" s="1"/>
      <c r="T163" s="1"/>
      <c r="U163" s="1"/>
      <c r="V163" s="1"/>
      <c r="W163" s="1"/>
      <c r="X163" s="1"/>
      <c r="Y163" s="1"/>
      <c r="Z163" s="1"/>
    </row>
    <row r="164" spans="3:26" ht="30" customHeight="1" x14ac:dyDescent="0.2">
      <c r="C164" s="1"/>
      <c r="E164" s="1"/>
      <c r="F164" s="1"/>
      <c r="G164" s="1"/>
      <c r="H164" s="1"/>
      <c r="I164" s="1"/>
      <c r="J164" s="1"/>
      <c r="K164" s="1"/>
      <c r="L164" s="1"/>
      <c r="M164" s="1"/>
      <c r="N164" s="1"/>
      <c r="O164" s="1"/>
      <c r="P164" s="1"/>
      <c r="Q164" s="1"/>
      <c r="R164" s="1"/>
      <c r="S164" s="1"/>
      <c r="T164" s="1"/>
      <c r="U164" s="1"/>
      <c r="V164" s="1"/>
      <c r="W164" s="1"/>
      <c r="X164" s="1"/>
      <c r="Y164" s="1"/>
      <c r="Z164" s="1"/>
    </row>
    <row r="165" spans="3:26" ht="30" customHeight="1" x14ac:dyDescent="0.2">
      <c r="C165" s="1"/>
      <c r="E165" s="1"/>
      <c r="F165" s="1"/>
      <c r="G165" s="1"/>
      <c r="H165" s="1"/>
      <c r="I165" s="1"/>
      <c r="J165" s="1"/>
      <c r="K165" s="1"/>
      <c r="L165" s="1"/>
      <c r="M165" s="1"/>
      <c r="N165" s="1"/>
      <c r="O165" s="1"/>
      <c r="P165" s="1"/>
      <c r="Q165" s="1"/>
      <c r="R165" s="1"/>
      <c r="S165" s="1"/>
      <c r="T165" s="1"/>
      <c r="U165" s="1"/>
      <c r="V165" s="1"/>
      <c r="W165" s="1"/>
      <c r="X165" s="1"/>
      <c r="Y165" s="1"/>
      <c r="Z165" s="1"/>
    </row>
    <row r="166" spans="3:26" ht="30" customHeight="1" x14ac:dyDescent="0.2">
      <c r="C166" s="1"/>
      <c r="E166" s="1"/>
      <c r="F166" s="1"/>
      <c r="G166" s="1"/>
      <c r="H166" s="1"/>
      <c r="I166" s="1"/>
      <c r="J166" s="1"/>
      <c r="K166" s="1"/>
      <c r="L166" s="1"/>
      <c r="M166" s="1"/>
      <c r="N166" s="1"/>
      <c r="O166" s="1"/>
      <c r="P166" s="1"/>
      <c r="Q166" s="1"/>
      <c r="R166" s="1"/>
      <c r="S166" s="1"/>
      <c r="T166" s="1"/>
      <c r="U166" s="1"/>
      <c r="V166" s="1"/>
      <c r="W166" s="1"/>
      <c r="X166" s="1"/>
      <c r="Y166" s="1"/>
      <c r="Z166" s="1"/>
    </row>
    <row r="167" spans="3:26" ht="30" customHeight="1" x14ac:dyDescent="0.2">
      <c r="C167" s="1"/>
      <c r="E167" s="1"/>
      <c r="F167" s="1"/>
      <c r="G167" s="1"/>
      <c r="H167" s="1"/>
      <c r="I167" s="1"/>
      <c r="J167" s="1"/>
      <c r="K167" s="1"/>
      <c r="L167" s="1"/>
      <c r="M167" s="1"/>
      <c r="N167" s="1"/>
      <c r="O167" s="1"/>
      <c r="P167" s="1"/>
      <c r="Q167" s="1"/>
      <c r="R167" s="1"/>
      <c r="S167" s="1"/>
      <c r="T167" s="1"/>
      <c r="U167" s="1"/>
      <c r="V167" s="1"/>
      <c r="W167" s="1"/>
      <c r="X167" s="1"/>
      <c r="Y167" s="1"/>
      <c r="Z167" s="1"/>
    </row>
    <row r="168" spans="3:26" ht="40.15" customHeight="1" x14ac:dyDescent="0.2">
      <c r="C168" s="1"/>
      <c r="E168" s="1"/>
      <c r="F168" s="1"/>
      <c r="G168" s="1"/>
      <c r="H168" s="1"/>
      <c r="I168" s="1"/>
      <c r="J168" s="1"/>
      <c r="K168" s="1"/>
      <c r="L168" s="1"/>
      <c r="M168" s="1"/>
      <c r="N168" s="1"/>
      <c r="O168" s="1"/>
      <c r="P168" s="1"/>
      <c r="Q168" s="1"/>
      <c r="R168" s="1"/>
      <c r="S168" s="1"/>
      <c r="T168" s="1"/>
      <c r="U168" s="1"/>
      <c r="V168" s="1"/>
      <c r="W168" s="1"/>
      <c r="X168" s="1"/>
      <c r="Y168" s="1"/>
      <c r="Z168" s="1"/>
    </row>
    <row r="169" spans="3:26" ht="60.75" customHeight="1" x14ac:dyDescent="0.2">
      <c r="C169" s="1"/>
      <c r="E169" s="1"/>
      <c r="F169" s="1"/>
      <c r="G169" s="1"/>
      <c r="H169" s="1"/>
      <c r="I169" s="1"/>
      <c r="J169" s="1"/>
      <c r="K169" s="1"/>
      <c r="L169" s="1"/>
      <c r="M169" s="1"/>
      <c r="N169" s="1"/>
      <c r="O169" s="1"/>
      <c r="P169" s="1"/>
      <c r="Q169" s="1"/>
      <c r="R169" s="1"/>
      <c r="S169" s="1"/>
      <c r="T169" s="1"/>
      <c r="U169" s="1"/>
      <c r="V169" s="1"/>
      <c r="W169" s="1"/>
      <c r="X169" s="1"/>
      <c r="Y169" s="1"/>
      <c r="Z169" s="1"/>
    </row>
    <row r="170" spans="3:26" ht="15" customHeight="1" x14ac:dyDescent="0.2">
      <c r="C170" s="1"/>
      <c r="E170" s="1"/>
      <c r="F170" s="1"/>
      <c r="G170" s="1"/>
      <c r="H170" s="1"/>
      <c r="I170" s="1"/>
      <c r="J170" s="1"/>
      <c r="K170" s="1"/>
      <c r="L170" s="1"/>
      <c r="M170" s="1"/>
      <c r="N170" s="1"/>
      <c r="O170" s="1"/>
      <c r="P170" s="1"/>
      <c r="Q170" s="1"/>
      <c r="R170" s="1"/>
      <c r="S170" s="1"/>
      <c r="T170" s="1"/>
      <c r="U170" s="1"/>
      <c r="V170" s="1"/>
      <c r="W170" s="1"/>
      <c r="X170" s="1"/>
      <c r="Y170" s="1"/>
      <c r="Z170" s="1"/>
    </row>
    <row r="171" spans="3:26" ht="30" customHeight="1" x14ac:dyDescent="0.2">
      <c r="C171" s="1"/>
      <c r="E171" s="1"/>
      <c r="F171" s="1"/>
      <c r="G171" s="1"/>
      <c r="H171" s="1"/>
      <c r="I171" s="1"/>
      <c r="J171" s="1"/>
      <c r="K171" s="1"/>
      <c r="L171" s="1"/>
      <c r="M171" s="1"/>
      <c r="N171" s="1"/>
      <c r="O171" s="1"/>
      <c r="P171" s="1"/>
      <c r="Q171" s="1"/>
      <c r="R171" s="1"/>
      <c r="S171" s="1"/>
      <c r="T171" s="1"/>
      <c r="U171" s="1"/>
      <c r="V171" s="1"/>
      <c r="W171" s="1"/>
      <c r="X171" s="1"/>
      <c r="Y171" s="1"/>
      <c r="Z171" s="1"/>
    </row>
    <row r="172" spans="3:26" ht="30" customHeight="1" x14ac:dyDescent="0.2">
      <c r="C172" s="1"/>
      <c r="E172" s="1"/>
      <c r="F172" s="1"/>
      <c r="G172" s="1"/>
      <c r="H172" s="1"/>
      <c r="I172" s="1"/>
      <c r="J172" s="1"/>
      <c r="K172" s="1"/>
      <c r="L172" s="1"/>
      <c r="M172" s="1"/>
      <c r="N172" s="1"/>
      <c r="O172" s="1"/>
      <c r="P172" s="1"/>
      <c r="Q172" s="1"/>
      <c r="R172" s="1"/>
      <c r="S172" s="1"/>
      <c r="T172" s="1"/>
      <c r="U172" s="1"/>
      <c r="V172" s="1"/>
      <c r="W172" s="1"/>
      <c r="X172" s="1"/>
      <c r="Y172" s="1"/>
      <c r="Z172" s="1"/>
    </row>
    <row r="173" spans="3:26" ht="30" customHeight="1" x14ac:dyDescent="0.2">
      <c r="C173" s="1"/>
      <c r="E173" s="1"/>
      <c r="F173" s="1"/>
      <c r="G173" s="1"/>
      <c r="H173" s="1"/>
      <c r="I173" s="1"/>
      <c r="J173" s="1"/>
      <c r="K173" s="1"/>
      <c r="L173" s="1"/>
      <c r="M173" s="1"/>
      <c r="N173" s="1"/>
      <c r="O173" s="1"/>
      <c r="P173" s="1"/>
      <c r="Q173" s="1"/>
      <c r="R173" s="1"/>
      <c r="S173" s="1"/>
      <c r="T173" s="1"/>
      <c r="U173" s="1"/>
      <c r="V173" s="1"/>
      <c r="W173" s="1"/>
      <c r="X173" s="1"/>
      <c r="Y173" s="1"/>
      <c r="Z173" s="1"/>
    </row>
    <row r="174" spans="3:26" ht="30" customHeight="1" x14ac:dyDescent="0.2">
      <c r="C174" s="1"/>
      <c r="E174" s="1"/>
      <c r="F174" s="1"/>
      <c r="G174" s="1"/>
      <c r="H174" s="1"/>
      <c r="I174" s="1"/>
      <c r="J174" s="1"/>
      <c r="K174" s="1"/>
      <c r="L174" s="1"/>
      <c r="M174" s="1"/>
      <c r="N174" s="1"/>
      <c r="O174" s="1"/>
      <c r="P174" s="1"/>
      <c r="Q174" s="1"/>
      <c r="R174" s="1"/>
      <c r="S174" s="1"/>
      <c r="T174" s="1"/>
      <c r="U174" s="1"/>
      <c r="V174" s="1"/>
      <c r="W174" s="1"/>
      <c r="X174" s="1"/>
      <c r="Y174" s="1"/>
      <c r="Z174" s="1"/>
    </row>
    <row r="175" spans="3:26" ht="30" customHeight="1" x14ac:dyDescent="0.2">
      <c r="C175" s="1"/>
      <c r="E175" s="1"/>
      <c r="F175" s="1"/>
      <c r="G175" s="1"/>
      <c r="H175" s="1"/>
      <c r="I175" s="1"/>
      <c r="J175" s="1"/>
      <c r="K175" s="1"/>
      <c r="L175" s="1"/>
      <c r="M175" s="1"/>
      <c r="N175" s="1"/>
      <c r="O175" s="1"/>
      <c r="P175" s="1"/>
      <c r="Q175" s="1"/>
      <c r="R175" s="1"/>
      <c r="S175" s="1"/>
      <c r="T175" s="1"/>
      <c r="U175" s="1"/>
      <c r="V175" s="1"/>
      <c r="W175" s="1"/>
      <c r="X175" s="1"/>
      <c r="Y175" s="1"/>
      <c r="Z175" s="1"/>
    </row>
    <row r="176" spans="3:26" ht="30" customHeight="1" x14ac:dyDescent="0.2">
      <c r="C176" s="1"/>
      <c r="E176" s="1"/>
      <c r="F176" s="1"/>
      <c r="G176" s="1"/>
      <c r="H176" s="1"/>
      <c r="I176" s="1"/>
      <c r="J176" s="1"/>
      <c r="K176" s="1"/>
      <c r="L176" s="1"/>
      <c r="M176" s="1"/>
      <c r="N176" s="1"/>
      <c r="O176" s="1"/>
      <c r="P176" s="1"/>
      <c r="Q176" s="1"/>
      <c r="R176" s="1"/>
      <c r="S176" s="1"/>
      <c r="T176" s="1"/>
      <c r="U176" s="1"/>
      <c r="V176" s="1"/>
      <c r="W176" s="1"/>
      <c r="X176" s="1"/>
      <c r="Y176" s="1"/>
      <c r="Z176" s="1"/>
    </row>
    <row r="177" spans="3:26" ht="30" customHeight="1" x14ac:dyDescent="0.2">
      <c r="C177" s="1"/>
      <c r="E177" s="1"/>
      <c r="F177" s="1"/>
      <c r="G177" s="1"/>
      <c r="H177" s="1"/>
      <c r="I177" s="1"/>
      <c r="J177" s="1"/>
      <c r="K177" s="1"/>
      <c r="L177" s="1"/>
      <c r="M177" s="1"/>
      <c r="N177" s="1"/>
      <c r="O177" s="1"/>
      <c r="P177" s="1"/>
      <c r="Q177" s="1"/>
      <c r="R177" s="1"/>
      <c r="S177" s="1"/>
      <c r="T177" s="1"/>
      <c r="U177" s="1"/>
      <c r="V177" s="1"/>
      <c r="W177" s="1"/>
      <c r="X177" s="1"/>
      <c r="Y177" s="1"/>
      <c r="Z177" s="1"/>
    </row>
    <row r="178" spans="3:26" ht="30" customHeight="1" x14ac:dyDescent="0.2">
      <c r="C178" s="1"/>
      <c r="E178" s="1"/>
      <c r="F178" s="1"/>
      <c r="G178" s="1"/>
      <c r="H178" s="1"/>
      <c r="I178" s="1"/>
      <c r="J178" s="1"/>
      <c r="K178" s="1"/>
      <c r="L178" s="1"/>
      <c r="M178" s="1"/>
      <c r="N178" s="1"/>
      <c r="O178" s="1"/>
      <c r="P178" s="1"/>
      <c r="Q178" s="1"/>
      <c r="R178" s="1"/>
      <c r="S178" s="1"/>
      <c r="T178" s="1"/>
      <c r="U178" s="1"/>
      <c r="V178" s="1"/>
      <c r="W178" s="1"/>
      <c r="X178" s="1"/>
      <c r="Y178" s="1"/>
      <c r="Z178" s="1"/>
    </row>
    <row r="179" spans="3:26" ht="30" customHeight="1" x14ac:dyDescent="0.2">
      <c r="C179" s="1"/>
      <c r="E179" s="1"/>
      <c r="F179" s="1"/>
      <c r="G179" s="1"/>
      <c r="H179" s="1"/>
      <c r="I179" s="1"/>
      <c r="J179" s="1"/>
      <c r="K179" s="1"/>
      <c r="L179" s="1"/>
      <c r="M179" s="1"/>
      <c r="N179" s="1"/>
      <c r="O179" s="1"/>
      <c r="P179" s="1"/>
      <c r="Q179" s="1"/>
      <c r="R179" s="1"/>
      <c r="S179" s="1"/>
      <c r="T179" s="1"/>
      <c r="U179" s="1"/>
      <c r="V179" s="1"/>
      <c r="W179" s="1"/>
      <c r="X179" s="1"/>
      <c r="Y179" s="1"/>
      <c r="Z179" s="1"/>
    </row>
    <row r="180" spans="3:26" ht="30" customHeight="1" x14ac:dyDescent="0.2">
      <c r="C180" s="1"/>
      <c r="E180" s="1"/>
      <c r="F180" s="1"/>
      <c r="G180" s="1"/>
      <c r="H180" s="1"/>
      <c r="I180" s="1"/>
      <c r="J180" s="1"/>
      <c r="K180" s="1"/>
      <c r="L180" s="1"/>
      <c r="M180" s="1"/>
      <c r="N180" s="1"/>
      <c r="O180" s="1"/>
      <c r="P180" s="1"/>
      <c r="Q180" s="1"/>
      <c r="R180" s="1"/>
      <c r="S180" s="1"/>
      <c r="T180" s="1"/>
      <c r="U180" s="1"/>
      <c r="V180" s="1"/>
      <c r="W180" s="1"/>
      <c r="X180" s="1"/>
      <c r="Y180" s="1"/>
      <c r="Z180" s="1"/>
    </row>
    <row r="181" spans="3:26" ht="30" customHeight="1" x14ac:dyDescent="0.2">
      <c r="C181" s="1"/>
      <c r="E181" s="1"/>
      <c r="F181" s="1"/>
      <c r="G181" s="1"/>
      <c r="H181" s="1"/>
      <c r="I181" s="1"/>
      <c r="J181" s="1"/>
      <c r="K181" s="1"/>
      <c r="L181" s="1"/>
      <c r="M181" s="1"/>
      <c r="N181" s="1"/>
      <c r="O181" s="1"/>
      <c r="P181" s="1"/>
      <c r="Q181" s="1"/>
      <c r="R181" s="1"/>
      <c r="S181" s="1"/>
      <c r="T181" s="1"/>
      <c r="U181" s="1"/>
      <c r="V181" s="1"/>
      <c r="W181" s="1"/>
      <c r="X181" s="1"/>
      <c r="Y181" s="1"/>
      <c r="Z181" s="1"/>
    </row>
    <row r="182" spans="3:26" ht="30" customHeight="1" x14ac:dyDescent="0.2">
      <c r="C182" s="1"/>
      <c r="E182" s="1"/>
      <c r="F182" s="1"/>
      <c r="G182" s="1"/>
      <c r="H182" s="1"/>
      <c r="I182" s="1"/>
      <c r="J182" s="1"/>
      <c r="K182" s="1"/>
      <c r="L182" s="1"/>
      <c r="M182" s="1"/>
      <c r="N182" s="1"/>
      <c r="O182" s="1"/>
      <c r="P182" s="1"/>
      <c r="Q182" s="1"/>
      <c r="R182" s="1"/>
      <c r="S182" s="1"/>
      <c r="T182" s="1"/>
      <c r="U182" s="1"/>
      <c r="V182" s="1"/>
      <c r="W182" s="1"/>
      <c r="X182" s="1"/>
      <c r="Y182" s="1"/>
      <c r="Z182" s="1"/>
    </row>
    <row r="183" spans="3:26" ht="30" customHeight="1" x14ac:dyDescent="0.2">
      <c r="C183" s="1"/>
      <c r="E183" s="1"/>
      <c r="F183" s="1"/>
      <c r="G183" s="1"/>
      <c r="H183" s="1"/>
      <c r="I183" s="1"/>
      <c r="J183" s="1"/>
      <c r="K183" s="1"/>
      <c r="L183" s="1"/>
      <c r="M183" s="1"/>
      <c r="N183" s="1"/>
      <c r="O183" s="1"/>
      <c r="P183" s="1"/>
      <c r="Q183" s="1"/>
      <c r="R183" s="1"/>
      <c r="S183" s="1"/>
      <c r="T183" s="1"/>
      <c r="U183" s="1"/>
      <c r="V183" s="1"/>
      <c r="W183" s="1"/>
      <c r="X183" s="1"/>
      <c r="Y183" s="1"/>
      <c r="Z183" s="1"/>
    </row>
    <row r="184" spans="3:26" ht="30" customHeight="1" x14ac:dyDescent="0.2">
      <c r="C184" s="1"/>
      <c r="E184" s="1"/>
      <c r="F184" s="1"/>
      <c r="G184" s="1"/>
      <c r="H184" s="1"/>
      <c r="I184" s="1"/>
      <c r="J184" s="1"/>
      <c r="K184" s="1"/>
      <c r="L184" s="1"/>
      <c r="M184" s="1"/>
      <c r="N184" s="1"/>
      <c r="O184" s="1"/>
      <c r="P184" s="1"/>
      <c r="Q184" s="1"/>
      <c r="R184" s="1"/>
      <c r="S184" s="1"/>
      <c r="T184" s="1"/>
      <c r="U184" s="1"/>
      <c r="V184" s="1"/>
      <c r="W184" s="1"/>
      <c r="X184" s="1"/>
      <c r="Y184" s="1"/>
      <c r="Z184" s="1"/>
    </row>
    <row r="185" spans="3:26" ht="30" customHeight="1" x14ac:dyDescent="0.2">
      <c r="C185" s="1"/>
      <c r="E185" s="1"/>
      <c r="F185" s="1"/>
      <c r="G185" s="1"/>
      <c r="H185" s="1"/>
      <c r="I185" s="1"/>
      <c r="J185" s="1"/>
      <c r="K185" s="1"/>
      <c r="L185" s="1"/>
      <c r="M185" s="1"/>
      <c r="N185" s="1"/>
      <c r="O185" s="1"/>
      <c r="P185" s="1"/>
      <c r="Q185" s="1"/>
      <c r="R185" s="1"/>
      <c r="S185" s="1"/>
      <c r="T185" s="1"/>
      <c r="U185" s="1"/>
      <c r="V185" s="1"/>
      <c r="W185" s="1"/>
      <c r="X185" s="1"/>
      <c r="Y185" s="1"/>
      <c r="Z185" s="1"/>
    </row>
    <row r="186" spans="3:26" ht="30" customHeight="1" x14ac:dyDescent="0.2">
      <c r="C186" s="1"/>
      <c r="E186" s="1"/>
      <c r="F186" s="1"/>
      <c r="G186" s="1"/>
      <c r="H186" s="1"/>
      <c r="I186" s="1"/>
      <c r="J186" s="1"/>
      <c r="K186" s="1"/>
      <c r="L186" s="1"/>
      <c r="M186" s="1"/>
      <c r="N186" s="1"/>
      <c r="O186" s="1"/>
      <c r="P186" s="1"/>
      <c r="Q186" s="1"/>
      <c r="R186" s="1"/>
      <c r="S186" s="1"/>
      <c r="T186" s="1"/>
      <c r="U186" s="1"/>
      <c r="V186" s="1"/>
      <c r="W186" s="1"/>
      <c r="X186" s="1"/>
      <c r="Y186" s="1"/>
      <c r="Z186" s="1"/>
    </row>
    <row r="187" spans="3:26" ht="30" customHeight="1" x14ac:dyDescent="0.2">
      <c r="C187" s="1"/>
      <c r="E187" s="1"/>
      <c r="F187" s="1"/>
      <c r="G187" s="1"/>
      <c r="H187" s="1"/>
      <c r="I187" s="1"/>
      <c r="J187" s="1"/>
      <c r="K187" s="1"/>
      <c r="L187" s="1"/>
      <c r="M187" s="1"/>
      <c r="N187" s="1"/>
      <c r="O187" s="1"/>
      <c r="P187" s="1"/>
      <c r="Q187" s="1"/>
      <c r="R187" s="1"/>
      <c r="S187" s="1"/>
      <c r="T187" s="1"/>
      <c r="U187" s="1"/>
      <c r="V187" s="1"/>
      <c r="W187" s="1"/>
      <c r="X187" s="1"/>
      <c r="Y187" s="1"/>
      <c r="Z187" s="1"/>
    </row>
    <row r="188" spans="3:26" ht="30" customHeight="1" x14ac:dyDescent="0.2">
      <c r="C188" s="1"/>
      <c r="E188" s="1"/>
      <c r="F188" s="1"/>
      <c r="G188" s="1"/>
      <c r="H188" s="1"/>
      <c r="I188" s="1"/>
      <c r="J188" s="1"/>
      <c r="K188" s="1"/>
      <c r="L188" s="1"/>
      <c r="M188" s="1"/>
      <c r="N188" s="1"/>
      <c r="O188" s="1"/>
      <c r="P188" s="1"/>
      <c r="Q188" s="1"/>
      <c r="R188" s="1"/>
      <c r="S188" s="1"/>
      <c r="T188" s="1"/>
      <c r="U188" s="1"/>
      <c r="V188" s="1"/>
      <c r="W188" s="1"/>
      <c r="X188" s="1"/>
      <c r="Y188" s="1"/>
      <c r="Z188" s="1"/>
    </row>
    <row r="189" spans="3:26" ht="30" customHeight="1" x14ac:dyDescent="0.2">
      <c r="C189" s="1"/>
      <c r="E189" s="1"/>
      <c r="F189" s="1"/>
      <c r="G189" s="1"/>
      <c r="H189" s="1"/>
      <c r="I189" s="1"/>
      <c r="J189" s="1"/>
      <c r="K189" s="1"/>
      <c r="L189" s="1"/>
      <c r="M189" s="1"/>
      <c r="N189" s="1"/>
      <c r="O189" s="1"/>
      <c r="P189" s="1"/>
      <c r="Q189" s="1"/>
      <c r="R189" s="1"/>
      <c r="S189" s="1"/>
      <c r="T189" s="1"/>
      <c r="U189" s="1"/>
      <c r="V189" s="1"/>
      <c r="W189" s="1"/>
      <c r="X189" s="1"/>
      <c r="Y189" s="1"/>
      <c r="Z189" s="1"/>
    </row>
    <row r="190" spans="3:26" ht="30" customHeight="1" x14ac:dyDescent="0.2">
      <c r="C190" s="1"/>
      <c r="E190" s="1"/>
      <c r="F190" s="1"/>
      <c r="G190" s="1"/>
      <c r="H190" s="1"/>
      <c r="I190" s="1"/>
      <c r="J190" s="1"/>
      <c r="K190" s="1"/>
      <c r="L190" s="1"/>
      <c r="M190" s="1"/>
      <c r="N190" s="1"/>
      <c r="O190" s="1"/>
      <c r="P190" s="1"/>
      <c r="Q190" s="1"/>
      <c r="R190" s="1"/>
      <c r="S190" s="1"/>
      <c r="T190" s="1"/>
      <c r="U190" s="1"/>
      <c r="V190" s="1"/>
      <c r="W190" s="1"/>
      <c r="X190" s="1"/>
      <c r="Y190" s="1"/>
      <c r="Z190" s="1"/>
    </row>
    <row r="191" spans="3:26" x14ac:dyDescent="0.2">
      <c r="C191" s="1"/>
      <c r="E191" s="1"/>
      <c r="F191" s="1"/>
      <c r="G191" s="1"/>
      <c r="H191" s="1"/>
      <c r="I191" s="1"/>
      <c r="J191" s="1"/>
      <c r="K191" s="1"/>
      <c r="L191" s="1"/>
      <c r="M191" s="1"/>
      <c r="N191" s="1"/>
      <c r="O191" s="1"/>
      <c r="P191" s="1"/>
      <c r="Q191" s="1"/>
      <c r="R191" s="1"/>
      <c r="S191" s="1"/>
      <c r="T191" s="1"/>
      <c r="U191" s="1"/>
      <c r="V191" s="1"/>
      <c r="W191" s="1"/>
      <c r="X191" s="1"/>
      <c r="Y191" s="1"/>
      <c r="Z191" s="1"/>
    </row>
    <row r="192" spans="3:26" x14ac:dyDescent="0.2">
      <c r="C192" s="1"/>
      <c r="E192" s="1"/>
      <c r="F192" s="1"/>
      <c r="G192" s="1"/>
      <c r="H192" s="1"/>
      <c r="I192" s="1"/>
      <c r="J192" s="1"/>
      <c r="K192" s="1"/>
      <c r="L192" s="1"/>
      <c r="M192" s="1"/>
      <c r="N192" s="1"/>
      <c r="O192" s="1"/>
      <c r="P192" s="1"/>
      <c r="Q192" s="1"/>
      <c r="R192" s="1"/>
      <c r="S192" s="1"/>
      <c r="T192" s="1"/>
      <c r="U192" s="1"/>
      <c r="V192" s="1"/>
      <c r="W192" s="1"/>
      <c r="X192" s="1"/>
      <c r="Y192" s="1"/>
      <c r="Z192" s="1"/>
    </row>
    <row r="193" spans="3:26" x14ac:dyDescent="0.2">
      <c r="C193" s="1"/>
      <c r="E193" s="1"/>
      <c r="F193" s="1"/>
      <c r="G193" s="1"/>
      <c r="H193" s="1"/>
      <c r="I193" s="1"/>
      <c r="J193" s="1"/>
      <c r="K193" s="1"/>
      <c r="L193" s="1"/>
      <c r="M193" s="1"/>
      <c r="N193" s="1"/>
      <c r="O193" s="1"/>
      <c r="P193" s="1"/>
      <c r="Q193" s="1"/>
      <c r="R193" s="1"/>
      <c r="S193" s="1"/>
      <c r="T193" s="1"/>
      <c r="U193" s="1"/>
      <c r="V193" s="1"/>
      <c r="W193" s="1"/>
      <c r="X193" s="1"/>
      <c r="Y193" s="1"/>
      <c r="Z193" s="1"/>
    </row>
    <row r="194" spans="3:26" x14ac:dyDescent="0.2">
      <c r="C194" s="1"/>
      <c r="E194" s="1"/>
      <c r="F194" s="1"/>
      <c r="G194" s="1"/>
      <c r="H194" s="1"/>
      <c r="I194" s="1"/>
      <c r="J194" s="1"/>
      <c r="K194" s="1"/>
      <c r="L194" s="1"/>
      <c r="M194" s="1"/>
      <c r="N194" s="1"/>
      <c r="O194" s="1"/>
      <c r="P194" s="1"/>
      <c r="Q194" s="1"/>
      <c r="R194" s="1"/>
      <c r="S194" s="1"/>
      <c r="T194" s="1"/>
      <c r="U194" s="1"/>
      <c r="V194" s="1"/>
      <c r="W194" s="1"/>
      <c r="X194" s="1"/>
      <c r="Y194" s="1"/>
      <c r="Z194" s="1"/>
    </row>
    <row r="195" spans="3:26" x14ac:dyDescent="0.2">
      <c r="C195" s="1"/>
      <c r="E195" s="1"/>
      <c r="F195" s="1"/>
      <c r="G195" s="1"/>
      <c r="H195" s="1"/>
      <c r="I195" s="1"/>
      <c r="J195" s="1"/>
      <c r="K195" s="1"/>
      <c r="L195" s="1"/>
      <c r="M195" s="1"/>
      <c r="N195" s="1"/>
      <c r="O195" s="1"/>
      <c r="P195" s="1"/>
      <c r="Q195" s="1"/>
      <c r="R195" s="1"/>
      <c r="S195" s="1"/>
      <c r="T195" s="1"/>
      <c r="U195" s="1"/>
      <c r="V195" s="1"/>
      <c r="W195" s="1"/>
      <c r="X195" s="1"/>
      <c r="Y195" s="1"/>
      <c r="Z195" s="1"/>
    </row>
    <row r="196" spans="3:26" x14ac:dyDescent="0.2">
      <c r="C196" s="1"/>
      <c r="E196" s="1"/>
      <c r="F196" s="1"/>
      <c r="G196" s="1"/>
      <c r="H196" s="1"/>
      <c r="I196" s="1"/>
      <c r="J196" s="1"/>
      <c r="K196" s="1"/>
      <c r="L196" s="1"/>
      <c r="M196" s="1"/>
      <c r="N196" s="1"/>
      <c r="O196" s="1"/>
      <c r="P196" s="1"/>
      <c r="Q196" s="1"/>
      <c r="R196" s="1"/>
      <c r="S196" s="1"/>
      <c r="T196" s="1"/>
      <c r="U196" s="1"/>
      <c r="V196" s="1"/>
      <c r="W196" s="1"/>
      <c r="X196" s="1"/>
      <c r="Y196" s="1"/>
      <c r="Z196" s="1"/>
    </row>
    <row r="197" spans="3:26" x14ac:dyDescent="0.2">
      <c r="C197" s="1"/>
      <c r="E197" s="1"/>
      <c r="F197" s="1"/>
      <c r="G197" s="1"/>
      <c r="H197" s="1"/>
      <c r="I197" s="1"/>
      <c r="J197" s="1"/>
      <c r="K197" s="1"/>
      <c r="L197" s="1"/>
      <c r="M197" s="1"/>
      <c r="N197" s="1"/>
      <c r="O197" s="1"/>
      <c r="P197" s="1"/>
      <c r="Q197" s="1"/>
      <c r="R197" s="1"/>
      <c r="S197" s="1"/>
      <c r="T197" s="1"/>
      <c r="U197" s="1"/>
      <c r="V197" s="1"/>
      <c r="W197" s="1"/>
      <c r="X197" s="1"/>
      <c r="Y197" s="1"/>
      <c r="Z197" s="1"/>
    </row>
    <row r="198" spans="3:26" x14ac:dyDescent="0.2">
      <c r="C198" s="1"/>
      <c r="E198" s="1"/>
      <c r="F198" s="1"/>
      <c r="G198" s="1"/>
      <c r="H198" s="1"/>
      <c r="I198" s="1"/>
      <c r="J198" s="1"/>
      <c r="K198" s="1"/>
      <c r="L198" s="1"/>
      <c r="M198" s="1"/>
      <c r="N198" s="1"/>
      <c r="O198" s="1"/>
      <c r="P198" s="1"/>
      <c r="Q198" s="1"/>
      <c r="R198" s="1"/>
      <c r="S198" s="1"/>
      <c r="T198" s="1"/>
      <c r="U198" s="1"/>
      <c r="V198" s="1"/>
      <c r="W198" s="1"/>
      <c r="X198" s="1"/>
      <c r="Y198" s="1"/>
      <c r="Z198" s="1"/>
    </row>
    <row r="199" spans="3:26" x14ac:dyDescent="0.2">
      <c r="C199" s="1"/>
      <c r="E199" s="1"/>
      <c r="F199" s="1"/>
      <c r="G199" s="1"/>
      <c r="H199" s="1"/>
      <c r="I199" s="1"/>
      <c r="J199" s="1"/>
      <c r="K199" s="1"/>
      <c r="L199" s="1"/>
      <c r="M199" s="1"/>
      <c r="N199" s="1"/>
      <c r="O199" s="1"/>
      <c r="P199" s="1"/>
      <c r="Q199" s="1"/>
      <c r="R199" s="1"/>
      <c r="S199" s="1"/>
      <c r="T199" s="1"/>
      <c r="U199" s="1"/>
      <c r="V199" s="1"/>
      <c r="W199" s="1"/>
      <c r="X199" s="1"/>
      <c r="Y199" s="1"/>
      <c r="Z199" s="1"/>
    </row>
    <row r="200" spans="3:26" x14ac:dyDescent="0.2">
      <c r="C200" s="1"/>
      <c r="E200" s="1"/>
      <c r="F200" s="1"/>
      <c r="G200" s="1"/>
      <c r="H200" s="1"/>
      <c r="I200" s="1"/>
      <c r="J200" s="1"/>
      <c r="K200" s="1"/>
      <c r="L200" s="1"/>
      <c r="M200" s="1"/>
      <c r="N200" s="1"/>
      <c r="O200" s="1"/>
      <c r="P200" s="1"/>
      <c r="Q200" s="1"/>
      <c r="R200" s="1"/>
      <c r="S200" s="1"/>
      <c r="T200" s="1"/>
      <c r="U200" s="1"/>
      <c r="V200" s="1"/>
      <c r="W200" s="1"/>
      <c r="X200" s="1"/>
      <c r="Y200" s="1"/>
      <c r="Z200" s="1"/>
    </row>
    <row r="201" spans="3:26" x14ac:dyDescent="0.2">
      <c r="C201" s="1"/>
      <c r="E201" s="1"/>
      <c r="F201" s="1"/>
      <c r="G201" s="1"/>
      <c r="H201" s="1"/>
      <c r="I201" s="1"/>
      <c r="J201" s="1"/>
      <c r="K201" s="1"/>
      <c r="L201" s="1"/>
      <c r="M201" s="1"/>
      <c r="N201" s="1"/>
      <c r="O201" s="1"/>
      <c r="P201" s="1"/>
      <c r="Q201" s="1"/>
      <c r="R201" s="1"/>
      <c r="S201" s="1"/>
      <c r="T201" s="1"/>
      <c r="U201" s="1"/>
      <c r="V201" s="1"/>
      <c r="W201" s="1"/>
      <c r="X201" s="1"/>
      <c r="Y201" s="1"/>
      <c r="Z201" s="1"/>
    </row>
    <row r="202" spans="3:26" x14ac:dyDescent="0.2">
      <c r="C202" s="1"/>
      <c r="E202" s="1"/>
      <c r="F202" s="1"/>
      <c r="G202" s="1"/>
      <c r="H202" s="1"/>
      <c r="I202" s="1"/>
      <c r="J202" s="1"/>
      <c r="K202" s="1"/>
      <c r="L202" s="1"/>
      <c r="M202" s="1"/>
      <c r="N202" s="1"/>
      <c r="O202" s="1"/>
      <c r="P202" s="1"/>
      <c r="Q202" s="1"/>
      <c r="R202" s="1"/>
      <c r="S202" s="1"/>
      <c r="T202" s="1"/>
      <c r="U202" s="1"/>
      <c r="V202" s="1"/>
      <c r="W202" s="1"/>
      <c r="X202" s="1"/>
      <c r="Y202" s="1"/>
      <c r="Z202" s="1"/>
    </row>
    <row r="203" spans="3:26" x14ac:dyDescent="0.2">
      <c r="C203" s="1"/>
      <c r="E203" s="1"/>
      <c r="F203" s="1"/>
      <c r="G203" s="1"/>
      <c r="H203" s="1"/>
      <c r="I203" s="1"/>
      <c r="J203" s="1"/>
      <c r="K203" s="1"/>
      <c r="L203" s="1"/>
      <c r="M203" s="1"/>
      <c r="N203" s="1"/>
      <c r="O203" s="1"/>
      <c r="P203" s="1"/>
      <c r="Q203" s="1"/>
      <c r="R203" s="1"/>
      <c r="S203" s="1"/>
      <c r="T203" s="1"/>
      <c r="U203" s="1"/>
      <c r="V203" s="1"/>
      <c r="W203" s="1"/>
      <c r="X203" s="1"/>
      <c r="Y203" s="1"/>
      <c r="Z203" s="1"/>
    </row>
    <row r="204" spans="3:26" x14ac:dyDescent="0.2">
      <c r="C204" s="1"/>
      <c r="E204" s="1"/>
      <c r="F204" s="1"/>
      <c r="G204" s="1"/>
      <c r="H204" s="1"/>
      <c r="I204" s="1"/>
      <c r="J204" s="1"/>
      <c r="K204" s="1"/>
      <c r="L204" s="1"/>
      <c r="M204" s="1"/>
      <c r="N204" s="1"/>
      <c r="O204" s="1"/>
      <c r="P204" s="1"/>
      <c r="Q204" s="1"/>
      <c r="R204" s="1"/>
      <c r="S204" s="1"/>
      <c r="T204" s="1"/>
      <c r="U204" s="1"/>
      <c r="V204" s="1"/>
      <c r="W204" s="1"/>
      <c r="X204" s="1"/>
      <c r="Y204" s="1"/>
      <c r="Z204" s="1"/>
    </row>
    <row r="205" spans="3:26" x14ac:dyDescent="0.2">
      <c r="C205" s="1"/>
      <c r="E205" s="1"/>
      <c r="F205" s="1"/>
      <c r="G205" s="1"/>
      <c r="H205" s="1"/>
      <c r="I205" s="1"/>
      <c r="J205" s="1"/>
      <c r="K205" s="1"/>
      <c r="L205" s="1"/>
      <c r="M205" s="1"/>
      <c r="N205" s="1"/>
      <c r="O205" s="1"/>
      <c r="P205" s="1"/>
      <c r="Q205" s="1"/>
      <c r="R205" s="1"/>
      <c r="S205" s="1"/>
      <c r="T205" s="1"/>
      <c r="U205" s="1"/>
      <c r="V205" s="1"/>
      <c r="W205" s="1"/>
      <c r="X205" s="1"/>
      <c r="Y205" s="1"/>
      <c r="Z205" s="1"/>
    </row>
    <row r="206" spans="3:26" x14ac:dyDescent="0.2">
      <c r="C206" s="1"/>
      <c r="E206" s="1"/>
      <c r="F206" s="1"/>
      <c r="G206" s="1"/>
      <c r="H206" s="1"/>
      <c r="I206" s="1"/>
      <c r="J206" s="1"/>
      <c r="K206" s="1"/>
      <c r="L206" s="1"/>
      <c r="M206" s="1"/>
      <c r="N206" s="1"/>
      <c r="O206" s="1"/>
      <c r="P206" s="1"/>
      <c r="Q206" s="1"/>
      <c r="R206" s="1"/>
      <c r="S206" s="1"/>
      <c r="T206" s="1"/>
      <c r="U206" s="1"/>
      <c r="V206" s="1"/>
      <c r="W206" s="1"/>
      <c r="X206" s="1"/>
      <c r="Y206" s="1"/>
      <c r="Z206" s="1"/>
    </row>
    <row r="207" spans="3:26" ht="25.15" customHeight="1" x14ac:dyDescent="0.2">
      <c r="C207" s="1"/>
      <c r="E207" s="1"/>
      <c r="F207" s="1"/>
      <c r="G207" s="1"/>
      <c r="H207" s="1"/>
      <c r="I207" s="1"/>
      <c r="J207" s="1"/>
      <c r="K207" s="1"/>
      <c r="L207" s="1"/>
      <c r="M207" s="1"/>
      <c r="N207" s="1"/>
      <c r="O207" s="1"/>
      <c r="P207" s="1"/>
      <c r="Q207" s="1"/>
      <c r="R207" s="1"/>
      <c r="S207" s="1"/>
      <c r="T207" s="1"/>
      <c r="U207" s="1"/>
      <c r="V207" s="1"/>
      <c r="W207" s="1"/>
      <c r="X207" s="1"/>
      <c r="Y207" s="1"/>
      <c r="Z207" s="1"/>
    </row>
    <row r="208" spans="3:26" ht="25.15" customHeight="1" x14ac:dyDescent="0.2">
      <c r="C208" s="1"/>
      <c r="E208" s="1"/>
      <c r="F208" s="1"/>
      <c r="G208" s="1"/>
      <c r="H208" s="1"/>
      <c r="I208" s="1"/>
      <c r="J208" s="1"/>
      <c r="K208" s="1"/>
      <c r="L208" s="1"/>
      <c r="M208" s="1"/>
      <c r="N208" s="1"/>
      <c r="O208" s="1"/>
      <c r="P208" s="1"/>
      <c r="Q208" s="1"/>
      <c r="R208" s="1"/>
      <c r="S208" s="1"/>
      <c r="T208" s="1"/>
      <c r="U208" s="1"/>
      <c r="V208" s="1"/>
      <c r="W208" s="1"/>
      <c r="X208" s="1"/>
      <c r="Y208" s="1"/>
      <c r="Z208" s="1"/>
    </row>
    <row r="209" spans="3:26" ht="25.15" customHeight="1" x14ac:dyDescent="0.2">
      <c r="C209" s="1"/>
      <c r="E209" s="1"/>
      <c r="F209" s="1"/>
      <c r="G209" s="1"/>
      <c r="H209" s="1"/>
      <c r="I209" s="1"/>
      <c r="J209" s="1"/>
      <c r="K209" s="1"/>
      <c r="L209" s="1"/>
      <c r="M209" s="1"/>
      <c r="N209" s="1"/>
      <c r="O209" s="1"/>
      <c r="P209" s="1"/>
      <c r="Q209" s="1"/>
      <c r="R209" s="1"/>
      <c r="S209" s="1"/>
      <c r="T209" s="1"/>
      <c r="U209" s="1"/>
      <c r="V209" s="1"/>
      <c r="W209" s="1"/>
      <c r="X209" s="1"/>
      <c r="Y209" s="1"/>
      <c r="Z209" s="1"/>
    </row>
    <row r="210" spans="3:26" ht="25.15" customHeight="1" x14ac:dyDescent="0.2">
      <c r="C210" s="1"/>
      <c r="E210" s="1"/>
      <c r="F210" s="1"/>
      <c r="G210" s="1"/>
      <c r="H210" s="1"/>
      <c r="I210" s="1"/>
      <c r="J210" s="1"/>
      <c r="K210" s="1"/>
      <c r="L210" s="1"/>
      <c r="M210" s="1"/>
      <c r="N210" s="1"/>
      <c r="O210" s="1"/>
      <c r="P210" s="1"/>
      <c r="Q210" s="1"/>
      <c r="R210" s="1"/>
      <c r="S210" s="1"/>
      <c r="T210" s="1"/>
      <c r="U210" s="1"/>
      <c r="V210" s="1"/>
      <c r="W210" s="1"/>
      <c r="X210" s="1"/>
      <c r="Y210" s="1"/>
      <c r="Z210" s="1"/>
    </row>
    <row r="211" spans="3:26" ht="24.75" customHeight="1" x14ac:dyDescent="0.2">
      <c r="C211" s="1"/>
      <c r="E211" s="1"/>
      <c r="F211" s="1"/>
      <c r="G211" s="1"/>
      <c r="H211" s="1"/>
      <c r="I211" s="1"/>
      <c r="J211" s="1"/>
      <c r="K211" s="1"/>
      <c r="L211" s="1"/>
      <c r="M211" s="1"/>
      <c r="N211" s="1"/>
      <c r="O211" s="1"/>
      <c r="P211" s="1"/>
      <c r="Q211" s="1"/>
      <c r="R211" s="1"/>
      <c r="S211" s="1"/>
      <c r="T211" s="1"/>
      <c r="U211" s="1"/>
      <c r="V211" s="1"/>
      <c r="W211" s="1"/>
      <c r="X211" s="1"/>
      <c r="Y211" s="1"/>
      <c r="Z211" s="1"/>
    </row>
    <row r="212" spans="3:26" ht="25.15" customHeight="1" x14ac:dyDescent="0.2">
      <c r="C212" s="1"/>
      <c r="E212" s="1"/>
      <c r="F212" s="1"/>
      <c r="G212" s="1"/>
      <c r="H212" s="1"/>
      <c r="I212" s="1"/>
      <c r="J212" s="1"/>
      <c r="K212" s="1"/>
      <c r="L212" s="1"/>
      <c r="M212" s="1"/>
      <c r="N212" s="1"/>
      <c r="O212" s="1"/>
      <c r="P212" s="1"/>
      <c r="Q212" s="1"/>
      <c r="R212" s="1"/>
      <c r="S212" s="1"/>
      <c r="T212" s="1"/>
      <c r="U212" s="1"/>
      <c r="V212" s="1"/>
      <c r="W212" s="1"/>
      <c r="X212" s="1"/>
      <c r="Y212" s="1"/>
      <c r="Z212" s="1"/>
    </row>
    <row r="213" spans="3:26" ht="25.15" customHeight="1" x14ac:dyDescent="0.2">
      <c r="C213" s="1"/>
      <c r="E213" s="1"/>
      <c r="F213" s="1"/>
      <c r="G213" s="1"/>
      <c r="H213" s="1"/>
      <c r="I213" s="1"/>
      <c r="J213" s="1"/>
      <c r="K213" s="1"/>
      <c r="L213" s="1"/>
      <c r="M213" s="1"/>
      <c r="N213" s="1"/>
      <c r="O213" s="1"/>
      <c r="P213" s="1"/>
      <c r="Q213" s="1"/>
      <c r="R213" s="1"/>
      <c r="S213" s="1"/>
      <c r="T213" s="1"/>
      <c r="U213" s="1"/>
      <c r="V213" s="1"/>
      <c r="W213" s="1"/>
      <c r="X213" s="1"/>
      <c r="Y213" s="1"/>
      <c r="Z213" s="1"/>
    </row>
    <row r="214" spans="3:26" ht="25.15" customHeight="1" x14ac:dyDescent="0.2">
      <c r="C214" s="1"/>
    </row>
    <row r="215" spans="3:26" ht="25.15" customHeight="1" x14ac:dyDescent="0.2">
      <c r="C215" s="1"/>
    </row>
    <row r="216" spans="3:26" ht="25.15" customHeight="1" x14ac:dyDescent="0.2">
      <c r="C216" s="1"/>
    </row>
    <row r="217" spans="3:26" ht="25.15" customHeight="1" x14ac:dyDescent="0.2">
      <c r="C217" s="1"/>
    </row>
    <row r="218" spans="3:26" ht="25.15" customHeight="1" x14ac:dyDescent="0.2">
      <c r="C218" s="1"/>
    </row>
    <row r="219" spans="3:26" ht="25.15" customHeight="1" x14ac:dyDescent="0.2">
      <c r="C219" s="1"/>
    </row>
    <row r="220" spans="3:26" ht="25.15" customHeight="1" x14ac:dyDescent="0.2">
      <c r="C220" s="1"/>
    </row>
    <row r="221" spans="3:26" ht="25.15" customHeight="1" x14ac:dyDescent="0.2">
      <c r="C221" s="1"/>
    </row>
    <row r="222" spans="3:26" ht="25.15" customHeight="1" x14ac:dyDescent="0.2">
      <c r="C222" s="1"/>
    </row>
    <row r="223" spans="3:26" ht="25.15" customHeight="1" x14ac:dyDescent="0.2">
      <c r="C223" s="1"/>
    </row>
    <row r="224" spans="3:26" ht="25.15" customHeight="1" x14ac:dyDescent="0.2">
      <c r="C224" s="1"/>
    </row>
    <row r="225" spans="3:26" ht="25.15" customHeight="1" x14ac:dyDescent="0.2">
      <c r="C225" s="1"/>
    </row>
    <row r="226" spans="3:26" ht="25.15" customHeight="1" x14ac:dyDescent="0.2">
      <c r="C226" s="1"/>
    </row>
    <row r="227" spans="3:26" ht="25.15" customHeight="1" x14ac:dyDescent="0.2">
      <c r="C227" s="1"/>
    </row>
    <row r="228" spans="3:26" ht="25.15" customHeight="1" x14ac:dyDescent="0.2">
      <c r="C228" s="1"/>
    </row>
    <row r="229" spans="3:26" ht="25.15" customHeight="1" x14ac:dyDescent="0.2">
      <c r="C229" s="1"/>
      <c r="E229" s="1"/>
      <c r="F229" s="1"/>
      <c r="G229" s="1"/>
      <c r="H229" s="1"/>
      <c r="I229" s="1"/>
      <c r="J229" s="1"/>
      <c r="K229" s="1"/>
      <c r="L229" s="1"/>
      <c r="M229" s="1"/>
      <c r="N229" s="1"/>
      <c r="O229" s="1"/>
      <c r="P229" s="1"/>
      <c r="Q229" s="1"/>
      <c r="R229" s="1"/>
      <c r="S229" s="1"/>
      <c r="T229" s="1"/>
      <c r="U229" s="1"/>
      <c r="V229" s="1"/>
      <c r="W229" s="1"/>
      <c r="X229" s="1"/>
      <c r="Y229" s="1"/>
      <c r="Z229" s="1"/>
    </row>
    <row r="230" spans="3:26" ht="25.15" customHeight="1" x14ac:dyDescent="0.2">
      <c r="C230" s="1"/>
      <c r="E230" s="1"/>
      <c r="F230" s="1"/>
      <c r="G230" s="1"/>
      <c r="H230" s="1"/>
      <c r="I230" s="1"/>
      <c r="J230" s="1"/>
      <c r="K230" s="1"/>
      <c r="L230" s="1"/>
      <c r="M230" s="1"/>
      <c r="N230" s="1"/>
      <c r="O230" s="1"/>
      <c r="P230" s="1"/>
      <c r="Q230" s="1"/>
      <c r="R230" s="1"/>
      <c r="S230" s="1"/>
      <c r="T230" s="1"/>
      <c r="U230" s="1"/>
      <c r="V230" s="1"/>
      <c r="W230" s="1"/>
      <c r="X230" s="1"/>
      <c r="Y230" s="1"/>
      <c r="Z230" s="1"/>
    </row>
    <row r="231" spans="3:26" ht="25.15" customHeight="1" x14ac:dyDescent="0.2">
      <c r="C231" s="1"/>
      <c r="E231" s="1"/>
      <c r="F231" s="1"/>
      <c r="G231" s="1"/>
      <c r="H231" s="1"/>
      <c r="I231" s="1"/>
      <c r="J231" s="1"/>
      <c r="K231" s="1"/>
      <c r="L231" s="1"/>
      <c r="M231" s="1"/>
      <c r="N231" s="1"/>
      <c r="O231" s="1"/>
      <c r="P231" s="1"/>
      <c r="Q231" s="1"/>
      <c r="R231" s="1"/>
      <c r="S231" s="1"/>
      <c r="T231" s="1"/>
      <c r="U231" s="1"/>
      <c r="V231" s="1"/>
      <c r="W231" s="1"/>
      <c r="X231" s="1"/>
      <c r="Y231" s="1"/>
      <c r="Z231" s="1"/>
    </row>
    <row r="232" spans="3:26" ht="25.15" customHeight="1" x14ac:dyDescent="0.2">
      <c r="C232" s="1"/>
      <c r="E232" s="1"/>
      <c r="F232" s="1"/>
      <c r="G232" s="1"/>
      <c r="H232" s="1"/>
      <c r="I232" s="1"/>
      <c r="J232" s="1"/>
      <c r="K232" s="1"/>
      <c r="L232" s="1"/>
      <c r="M232" s="1"/>
      <c r="N232" s="1"/>
      <c r="O232" s="1"/>
      <c r="P232" s="1"/>
      <c r="Q232" s="1"/>
      <c r="R232" s="1"/>
      <c r="S232" s="1"/>
      <c r="T232" s="1"/>
      <c r="U232" s="1"/>
      <c r="V232" s="1"/>
      <c r="W232" s="1"/>
      <c r="X232" s="1"/>
      <c r="Y232" s="1"/>
      <c r="Z232" s="1"/>
    </row>
    <row r="233" spans="3:26" ht="25.15" customHeight="1" x14ac:dyDescent="0.2">
      <c r="C233" s="1"/>
      <c r="E233" s="1"/>
      <c r="F233" s="1"/>
      <c r="G233" s="1"/>
      <c r="H233" s="1"/>
      <c r="I233" s="1"/>
      <c r="J233" s="1"/>
      <c r="K233" s="1"/>
      <c r="L233" s="1"/>
      <c r="M233" s="1"/>
      <c r="N233" s="1"/>
      <c r="O233" s="1"/>
      <c r="P233" s="1"/>
      <c r="Q233" s="1"/>
      <c r="R233" s="1"/>
      <c r="S233" s="1"/>
      <c r="T233" s="1"/>
      <c r="U233" s="1"/>
      <c r="V233" s="1"/>
      <c r="W233" s="1"/>
      <c r="X233" s="1"/>
      <c r="Y233" s="1"/>
      <c r="Z233" s="1"/>
    </row>
    <row r="234" spans="3:26" ht="18" customHeight="1" x14ac:dyDescent="0.2">
      <c r="C234" s="1"/>
      <c r="E234" s="1"/>
      <c r="F234" s="1"/>
      <c r="G234" s="1"/>
      <c r="H234" s="1"/>
      <c r="I234" s="1"/>
      <c r="J234" s="1"/>
      <c r="K234" s="1"/>
      <c r="L234" s="1"/>
      <c r="M234" s="1"/>
      <c r="N234" s="1"/>
      <c r="O234" s="1"/>
      <c r="P234" s="1"/>
      <c r="Q234" s="1"/>
      <c r="R234" s="1"/>
      <c r="S234" s="1"/>
      <c r="T234" s="1"/>
      <c r="U234" s="1"/>
      <c r="V234" s="1"/>
      <c r="W234" s="1"/>
      <c r="X234" s="1"/>
      <c r="Y234" s="1"/>
      <c r="Z234" s="1"/>
    </row>
    <row r="235" spans="3:26" ht="18" customHeight="1" x14ac:dyDescent="0.2">
      <c r="C235" s="1"/>
      <c r="E235" s="1"/>
      <c r="F235" s="1"/>
      <c r="G235" s="1"/>
      <c r="H235" s="1"/>
      <c r="I235" s="1"/>
      <c r="J235" s="1"/>
      <c r="K235" s="1"/>
      <c r="L235" s="1"/>
      <c r="M235" s="1"/>
      <c r="N235" s="1"/>
      <c r="O235" s="1"/>
      <c r="P235" s="1"/>
      <c r="Q235" s="1"/>
      <c r="R235" s="1"/>
      <c r="S235" s="1"/>
      <c r="T235" s="1"/>
      <c r="U235" s="1"/>
      <c r="V235" s="1"/>
      <c r="W235" s="1"/>
      <c r="X235" s="1"/>
      <c r="Y235" s="1"/>
      <c r="Z235" s="1"/>
    </row>
    <row r="236" spans="3:26" ht="30.75" customHeight="1" x14ac:dyDescent="0.2">
      <c r="C236" s="1"/>
      <c r="E236" s="1"/>
      <c r="F236" s="1"/>
      <c r="G236" s="1"/>
      <c r="H236" s="1"/>
      <c r="I236" s="1"/>
      <c r="J236" s="1"/>
      <c r="K236" s="1"/>
      <c r="L236" s="1"/>
      <c r="M236" s="1"/>
      <c r="N236" s="1"/>
      <c r="O236" s="1"/>
      <c r="P236" s="1"/>
      <c r="Q236" s="1"/>
      <c r="R236" s="1"/>
      <c r="S236" s="1"/>
      <c r="T236" s="1"/>
      <c r="U236" s="1"/>
      <c r="V236" s="1"/>
      <c r="W236" s="1"/>
      <c r="X236" s="1"/>
      <c r="Y236" s="1"/>
      <c r="Z236" s="1"/>
    </row>
    <row r="237" spans="3:26" ht="59.25" customHeight="1" x14ac:dyDescent="0.2">
      <c r="C237" s="1"/>
      <c r="E237" s="1"/>
      <c r="F237" s="1"/>
      <c r="G237" s="1"/>
      <c r="H237" s="1"/>
      <c r="I237" s="1"/>
      <c r="J237" s="1"/>
      <c r="K237" s="1"/>
      <c r="L237" s="1"/>
      <c r="M237" s="1"/>
      <c r="N237" s="1"/>
      <c r="O237" s="1"/>
      <c r="P237" s="1"/>
      <c r="Q237" s="1"/>
      <c r="R237" s="1"/>
      <c r="S237" s="1"/>
      <c r="T237" s="1"/>
      <c r="U237" s="1"/>
      <c r="V237" s="1"/>
      <c r="W237" s="1"/>
      <c r="X237" s="1"/>
      <c r="Y237" s="1"/>
      <c r="Z237" s="1"/>
    </row>
    <row r="238" spans="3:26" ht="30" customHeight="1" x14ac:dyDescent="0.2">
      <c r="C238" s="1"/>
      <c r="E238" s="1"/>
      <c r="F238" s="1"/>
      <c r="G238" s="1"/>
      <c r="H238" s="1"/>
      <c r="I238" s="1"/>
      <c r="J238" s="1"/>
      <c r="K238" s="1"/>
      <c r="L238" s="1"/>
      <c r="M238" s="1"/>
      <c r="N238" s="1"/>
      <c r="O238" s="1"/>
      <c r="P238" s="1"/>
      <c r="Q238" s="1"/>
      <c r="R238" s="1"/>
      <c r="S238" s="1"/>
      <c r="T238" s="1"/>
      <c r="U238" s="1"/>
      <c r="V238" s="1"/>
      <c r="W238" s="1"/>
      <c r="X238" s="1"/>
      <c r="Y238" s="1"/>
      <c r="Z238" s="1"/>
    </row>
    <row r="239" spans="3:26" ht="30" customHeight="1" x14ac:dyDescent="0.2">
      <c r="C239" s="1"/>
      <c r="E239" s="1"/>
      <c r="F239" s="1"/>
      <c r="G239" s="1"/>
      <c r="H239" s="1"/>
      <c r="I239" s="1"/>
      <c r="J239" s="1"/>
      <c r="K239" s="1"/>
      <c r="L239" s="1"/>
      <c r="M239" s="1"/>
      <c r="N239" s="1"/>
      <c r="O239" s="1"/>
      <c r="P239" s="1"/>
      <c r="Q239" s="1"/>
      <c r="R239" s="1"/>
      <c r="S239" s="1"/>
      <c r="T239" s="1"/>
      <c r="U239" s="1"/>
      <c r="V239" s="1"/>
      <c r="W239" s="1"/>
      <c r="X239" s="1"/>
      <c r="Y239" s="1"/>
      <c r="Z239" s="1"/>
    </row>
    <row r="240" spans="3:26" ht="40.15" customHeight="1" x14ac:dyDescent="0.2">
      <c r="C240" s="1"/>
      <c r="E240" s="1"/>
      <c r="F240" s="1"/>
      <c r="G240" s="1"/>
      <c r="H240" s="1"/>
      <c r="I240" s="1"/>
      <c r="J240" s="1"/>
      <c r="K240" s="1"/>
      <c r="L240" s="1"/>
      <c r="M240" s="1"/>
      <c r="N240" s="1"/>
      <c r="O240" s="1"/>
      <c r="P240" s="1"/>
      <c r="Q240" s="1"/>
      <c r="R240" s="1"/>
      <c r="S240" s="1"/>
      <c r="T240" s="1"/>
      <c r="U240" s="1"/>
      <c r="V240" s="1"/>
      <c r="W240" s="1"/>
      <c r="X240" s="1"/>
      <c r="Y240" s="1"/>
      <c r="Z240" s="1"/>
    </row>
    <row r="241" spans="3:26" ht="39.75" customHeight="1" x14ac:dyDescent="0.2">
      <c r="C241" s="1"/>
      <c r="E241" s="1"/>
      <c r="F241" s="1"/>
      <c r="G241" s="1"/>
      <c r="H241" s="1"/>
      <c r="I241" s="1"/>
      <c r="J241" s="1"/>
      <c r="K241" s="1"/>
      <c r="L241" s="1"/>
      <c r="M241" s="1"/>
      <c r="N241" s="1"/>
      <c r="O241" s="1"/>
      <c r="P241" s="1"/>
      <c r="Q241" s="1"/>
      <c r="R241" s="1"/>
      <c r="S241" s="1"/>
      <c r="T241" s="1"/>
      <c r="U241" s="1"/>
      <c r="V241" s="1"/>
      <c r="W241" s="1"/>
      <c r="X241" s="1"/>
      <c r="Y241" s="1"/>
      <c r="Z241" s="1"/>
    </row>
    <row r="242" spans="3:26" ht="18" customHeight="1" x14ac:dyDescent="0.2">
      <c r="C242" s="1"/>
      <c r="E242" s="1"/>
      <c r="F242" s="1"/>
      <c r="G242" s="1"/>
      <c r="H242" s="1"/>
      <c r="I242" s="1"/>
      <c r="J242" s="1"/>
      <c r="K242" s="1"/>
      <c r="L242" s="1"/>
      <c r="M242" s="1"/>
      <c r="N242" s="1"/>
      <c r="O242" s="1"/>
      <c r="P242" s="1"/>
      <c r="Q242" s="1"/>
      <c r="R242" s="1"/>
      <c r="S242" s="1"/>
      <c r="T242" s="1"/>
      <c r="U242" s="1"/>
      <c r="V242" s="1"/>
      <c r="W242" s="1"/>
      <c r="X242" s="1"/>
      <c r="Y242" s="1"/>
      <c r="Z242" s="1"/>
    </row>
    <row r="243" spans="3:26" ht="25.15" customHeight="1" x14ac:dyDescent="0.2">
      <c r="C243" s="1"/>
      <c r="E243" s="1"/>
      <c r="F243" s="1"/>
      <c r="G243" s="1"/>
      <c r="H243" s="1"/>
      <c r="I243" s="1"/>
      <c r="J243" s="1"/>
      <c r="K243" s="1"/>
      <c r="L243" s="1"/>
      <c r="M243" s="1"/>
      <c r="N243" s="1"/>
      <c r="O243" s="1"/>
      <c r="P243" s="1"/>
      <c r="Q243" s="1"/>
      <c r="R243" s="1"/>
      <c r="S243" s="1"/>
      <c r="T243" s="1"/>
      <c r="U243" s="1"/>
      <c r="V243" s="1"/>
      <c r="W243" s="1"/>
      <c r="X243" s="1"/>
      <c r="Y243" s="1"/>
      <c r="Z243" s="1"/>
    </row>
    <row r="244" spans="3:26" ht="25.15" customHeight="1" x14ac:dyDescent="0.2">
      <c r="C244" s="1"/>
      <c r="E244" s="1"/>
      <c r="F244" s="1"/>
      <c r="G244" s="1"/>
      <c r="H244" s="1"/>
      <c r="I244" s="1"/>
      <c r="J244" s="1"/>
      <c r="K244" s="1"/>
      <c r="L244" s="1"/>
      <c r="M244" s="1"/>
      <c r="N244" s="1"/>
      <c r="O244" s="1"/>
      <c r="P244" s="1"/>
      <c r="Q244" s="1"/>
      <c r="R244" s="1"/>
      <c r="S244" s="1"/>
      <c r="T244" s="1"/>
      <c r="U244" s="1"/>
      <c r="V244" s="1"/>
      <c r="W244" s="1"/>
      <c r="X244" s="1"/>
      <c r="Y244" s="1"/>
      <c r="Z244" s="1"/>
    </row>
    <row r="245" spans="3:26" ht="25.15" customHeight="1" x14ac:dyDescent="0.2">
      <c r="C245" s="1"/>
      <c r="E245" s="1"/>
      <c r="F245" s="1"/>
      <c r="G245" s="1"/>
      <c r="H245" s="1"/>
      <c r="I245" s="1"/>
      <c r="J245" s="1"/>
      <c r="K245" s="1"/>
      <c r="L245" s="1"/>
      <c r="M245" s="1"/>
      <c r="N245" s="1"/>
      <c r="O245" s="1"/>
      <c r="P245" s="1"/>
      <c r="Q245" s="1"/>
      <c r="R245" s="1"/>
      <c r="S245" s="1"/>
      <c r="T245" s="1"/>
      <c r="U245" s="1"/>
      <c r="V245" s="1"/>
      <c r="W245" s="1"/>
      <c r="X245" s="1"/>
      <c r="Y245" s="1"/>
      <c r="Z245" s="1"/>
    </row>
    <row r="246" spans="3:26" ht="24.75" customHeight="1" x14ac:dyDescent="0.2">
      <c r="C246" s="1"/>
      <c r="E246" s="1"/>
      <c r="F246" s="1"/>
      <c r="G246" s="1"/>
      <c r="H246" s="1"/>
      <c r="I246" s="1"/>
      <c r="J246" s="1"/>
      <c r="K246" s="1"/>
      <c r="L246" s="1"/>
      <c r="M246" s="1"/>
      <c r="N246" s="1"/>
      <c r="O246" s="1"/>
      <c r="P246" s="1"/>
      <c r="Q246" s="1"/>
      <c r="R246" s="1"/>
      <c r="S246" s="1"/>
      <c r="T246" s="1"/>
      <c r="U246" s="1"/>
      <c r="V246" s="1"/>
      <c r="W246" s="1"/>
      <c r="X246" s="1"/>
      <c r="Y246" s="1"/>
      <c r="Z246" s="1"/>
    </row>
    <row r="247" spans="3:26" ht="25.15" customHeight="1" x14ac:dyDescent="0.2">
      <c r="C247" s="1"/>
      <c r="E247" s="1"/>
      <c r="F247" s="1"/>
      <c r="G247" s="1"/>
      <c r="H247" s="1"/>
      <c r="I247" s="1"/>
      <c r="J247" s="1"/>
      <c r="K247" s="1"/>
      <c r="L247" s="1"/>
      <c r="M247" s="1"/>
      <c r="N247" s="1"/>
      <c r="O247" s="1"/>
      <c r="P247" s="1"/>
      <c r="Q247" s="1"/>
      <c r="R247" s="1"/>
      <c r="S247" s="1"/>
      <c r="T247" s="1"/>
      <c r="U247" s="1"/>
      <c r="V247" s="1"/>
      <c r="W247" s="1"/>
      <c r="X247" s="1"/>
      <c r="Y247" s="1"/>
      <c r="Z247" s="1"/>
    </row>
    <row r="248" spans="3:26" ht="25.15" customHeight="1" x14ac:dyDescent="0.2">
      <c r="C248" s="1"/>
      <c r="E248" s="1"/>
      <c r="F248" s="1"/>
      <c r="G248" s="1"/>
      <c r="H248" s="1"/>
      <c r="I248" s="1"/>
      <c r="J248" s="1"/>
      <c r="K248" s="1"/>
      <c r="L248" s="1"/>
      <c r="M248" s="1"/>
      <c r="N248" s="1"/>
      <c r="O248" s="1"/>
      <c r="P248" s="1"/>
      <c r="Q248" s="1"/>
      <c r="R248" s="1"/>
      <c r="S248" s="1"/>
      <c r="T248" s="1"/>
      <c r="U248" s="1"/>
      <c r="V248" s="1"/>
      <c r="W248" s="1"/>
      <c r="X248" s="1"/>
      <c r="Y248" s="1"/>
      <c r="Z248" s="1"/>
    </row>
    <row r="249" spans="3:26" ht="25.15" customHeight="1" x14ac:dyDescent="0.2">
      <c r="C249" s="1"/>
      <c r="E249" s="1"/>
      <c r="F249" s="1"/>
      <c r="G249" s="1"/>
      <c r="H249" s="1"/>
      <c r="I249" s="1"/>
      <c r="J249" s="1"/>
      <c r="K249" s="1"/>
      <c r="L249" s="1"/>
      <c r="M249" s="1"/>
      <c r="N249" s="1"/>
      <c r="O249" s="1"/>
      <c r="P249" s="1"/>
      <c r="Q249" s="1"/>
      <c r="R249" s="1"/>
      <c r="S249" s="1"/>
      <c r="T249" s="1"/>
      <c r="U249" s="1"/>
      <c r="V249" s="1"/>
      <c r="W249" s="1"/>
      <c r="X249" s="1"/>
      <c r="Y249" s="1"/>
      <c r="Z249" s="1"/>
    </row>
    <row r="250" spans="3:26" ht="25.15" customHeight="1" x14ac:dyDescent="0.2">
      <c r="C250" s="1"/>
      <c r="E250" s="1"/>
      <c r="F250" s="1"/>
      <c r="G250" s="1"/>
      <c r="H250" s="1"/>
      <c r="I250" s="1"/>
      <c r="J250" s="1"/>
      <c r="K250" s="1"/>
      <c r="L250" s="1"/>
      <c r="M250" s="1"/>
      <c r="N250" s="1"/>
      <c r="O250" s="1"/>
      <c r="P250" s="1"/>
      <c r="Q250" s="1"/>
      <c r="R250" s="1"/>
      <c r="S250" s="1"/>
      <c r="T250" s="1"/>
      <c r="U250" s="1"/>
      <c r="V250" s="1"/>
      <c r="W250" s="1"/>
      <c r="X250" s="1"/>
      <c r="Y250" s="1"/>
      <c r="Z250" s="1"/>
    </row>
    <row r="251" spans="3:26" ht="25.15" customHeight="1" x14ac:dyDescent="0.2">
      <c r="C251" s="1"/>
      <c r="E251" s="1"/>
      <c r="F251" s="1"/>
      <c r="G251" s="1"/>
      <c r="H251" s="1"/>
      <c r="I251" s="1"/>
      <c r="J251" s="1"/>
      <c r="K251" s="1"/>
      <c r="L251" s="1"/>
      <c r="M251" s="1"/>
      <c r="N251" s="1"/>
      <c r="O251" s="1"/>
      <c r="P251" s="1"/>
      <c r="Q251" s="1"/>
      <c r="R251" s="1"/>
      <c r="S251" s="1"/>
      <c r="T251" s="1"/>
      <c r="U251" s="1"/>
      <c r="V251" s="1"/>
      <c r="W251" s="1"/>
      <c r="X251" s="1"/>
      <c r="Y251" s="1"/>
      <c r="Z251" s="1"/>
    </row>
    <row r="252" spans="3:26" ht="25.15" customHeight="1" x14ac:dyDescent="0.2">
      <c r="C252" s="1"/>
      <c r="E252" s="1"/>
      <c r="F252" s="1"/>
      <c r="G252" s="1"/>
      <c r="H252" s="1"/>
      <c r="I252" s="1"/>
      <c r="J252" s="1"/>
      <c r="K252" s="1"/>
      <c r="L252" s="1"/>
      <c r="M252" s="1"/>
      <c r="N252" s="1"/>
      <c r="O252" s="1"/>
      <c r="P252" s="1"/>
      <c r="Q252" s="1"/>
      <c r="R252" s="1"/>
      <c r="S252" s="1"/>
      <c r="T252" s="1"/>
      <c r="U252" s="1"/>
      <c r="V252" s="1"/>
      <c r="W252" s="1"/>
      <c r="X252" s="1"/>
      <c r="Y252" s="1"/>
      <c r="Z252" s="1"/>
    </row>
    <row r="253" spans="3:26" ht="25.15" customHeight="1" x14ac:dyDescent="0.2">
      <c r="C253" s="1"/>
      <c r="E253" s="1"/>
      <c r="F253" s="1"/>
      <c r="G253" s="1"/>
      <c r="H253" s="1"/>
      <c r="I253" s="1"/>
      <c r="J253" s="1"/>
      <c r="K253" s="1"/>
      <c r="L253" s="1"/>
      <c r="M253" s="1"/>
      <c r="N253" s="1"/>
      <c r="O253" s="1"/>
      <c r="P253" s="1"/>
      <c r="Q253" s="1"/>
      <c r="R253" s="1"/>
      <c r="S253" s="1"/>
      <c r="T253" s="1"/>
      <c r="U253" s="1"/>
      <c r="V253" s="1"/>
      <c r="W253" s="1"/>
      <c r="X253" s="1"/>
      <c r="Y253" s="1"/>
      <c r="Z253" s="1"/>
    </row>
    <row r="254" spans="3:26" ht="25.15" customHeight="1" x14ac:dyDescent="0.2">
      <c r="C254" s="1"/>
      <c r="E254" s="1"/>
      <c r="F254" s="1"/>
      <c r="G254" s="1"/>
      <c r="H254" s="1"/>
      <c r="I254" s="1"/>
      <c r="J254" s="1"/>
      <c r="K254" s="1"/>
      <c r="L254" s="1"/>
      <c r="M254" s="1"/>
      <c r="N254" s="1"/>
      <c r="O254" s="1"/>
      <c r="P254" s="1"/>
      <c r="Q254" s="1"/>
      <c r="R254" s="1"/>
      <c r="S254" s="1"/>
      <c r="T254" s="1"/>
      <c r="U254" s="1"/>
      <c r="V254" s="1"/>
      <c r="W254" s="1"/>
      <c r="X254" s="1"/>
      <c r="Y254" s="1"/>
      <c r="Z254" s="1"/>
    </row>
    <row r="255" spans="3:26" ht="25.15" customHeight="1" x14ac:dyDescent="0.2">
      <c r="C255" s="1"/>
      <c r="E255" s="1"/>
      <c r="F255" s="1"/>
      <c r="G255" s="1"/>
      <c r="H255" s="1"/>
      <c r="I255" s="1"/>
      <c r="J255" s="1"/>
      <c r="K255" s="1"/>
      <c r="L255" s="1"/>
      <c r="M255" s="1"/>
      <c r="N255" s="1"/>
      <c r="O255" s="1"/>
      <c r="P255" s="1"/>
      <c r="Q255" s="1"/>
      <c r="R255" s="1"/>
      <c r="S255" s="1"/>
      <c r="T255" s="1"/>
      <c r="U255" s="1"/>
      <c r="V255" s="1"/>
      <c r="W255" s="1"/>
      <c r="X255" s="1"/>
      <c r="Y255" s="1"/>
      <c r="Z255" s="1"/>
    </row>
    <row r="256" spans="3:26" ht="25.15" customHeight="1" x14ac:dyDescent="0.2">
      <c r="C256" s="1"/>
      <c r="E256" s="1"/>
      <c r="F256" s="1"/>
      <c r="G256" s="1"/>
      <c r="H256" s="1"/>
      <c r="I256" s="1"/>
      <c r="J256" s="1"/>
      <c r="K256" s="1"/>
      <c r="L256" s="1"/>
      <c r="M256" s="1"/>
      <c r="N256" s="1"/>
      <c r="O256" s="1"/>
      <c r="P256" s="1"/>
      <c r="Q256" s="1"/>
      <c r="R256" s="1"/>
      <c r="S256" s="1"/>
      <c r="T256" s="1"/>
      <c r="U256" s="1"/>
      <c r="V256" s="1"/>
      <c r="W256" s="1"/>
      <c r="X256" s="1"/>
      <c r="Y256" s="1"/>
      <c r="Z256" s="1"/>
    </row>
    <row r="257" spans="3:26" x14ac:dyDescent="0.2">
      <c r="C257" s="1"/>
      <c r="E257" s="1"/>
      <c r="F257" s="1"/>
      <c r="G257" s="1"/>
      <c r="H257" s="1"/>
      <c r="I257" s="1"/>
      <c r="J257" s="1"/>
      <c r="K257" s="1"/>
      <c r="L257" s="1"/>
      <c r="M257" s="1"/>
      <c r="N257" s="1"/>
      <c r="O257" s="1"/>
      <c r="P257" s="1"/>
      <c r="Q257" s="1"/>
      <c r="R257" s="1"/>
      <c r="S257" s="1"/>
      <c r="T257" s="1"/>
      <c r="U257" s="1"/>
      <c r="V257" s="1"/>
      <c r="W257" s="1"/>
      <c r="X257" s="1"/>
      <c r="Y257" s="1"/>
      <c r="Z257" s="1"/>
    </row>
    <row r="258" spans="3:26" x14ac:dyDescent="0.2">
      <c r="C258" s="1"/>
      <c r="E258" s="1"/>
      <c r="F258" s="1"/>
      <c r="G258" s="1"/>
      <c r="H258" s="1"/>
      <c r="I258" s="1"/>
      <c r="J258" s="1"/>
      <c r="K258" s="1"/>
      <c r="L258" s="1"/>
      <c r="M258" s="1"/>
      <c r="N258" s="1"/>
      <c r="O258" s="1"/>
      <c r="P258" s="1"/>
      <c r="Q258" s="1"/>
      <c r="R258" s="1"/>
      <c r="S258" s="1"/>
      <c r="T258" s="1"/>
      <c r="U258" s="1"/>
      <c r="V258" s="1"/>
      <c r="W258" s="1"/>
      <c r="X258" s="1"/>
      <c r="Y258" s="1"/>
      <c r="Z258" s="1"/>
    </row>
    <row r="259" spans="3:26" x14ac:dyDescent="0.2">
      <c r="C259" s="1"/>
      <c r="E259" s="1"/>
      <c r="F259" s="1"/>
      <c r="G259" s="1"/>
      <c r="H259" s="1"/>
      <c r="I259" s="1"/>
      <c r="J259" s="1"/>
      <c r="K259" s="1"/>
      <c r="L259" s="1"/>
      <c r="M259" s="1"/>
      <c r="N259" s="1"/>
      <c r="O259" s="1"/>
      <c r="P259" s="1"/>
      <c r="Q259" s="1"/>
      <c r="R259" s="1"/>
      <c r="S259" s="1"/>
      <c r="T259" s="1"/>
      <c r="U259" s="1"/>
      <c r="V259" s="1"/>
      <c r="W259" s="1"/>
      <c r="X259" s="1"/>
      <c r="Y259" s="1"/>
      <c r="Z259" s="1"/>
    </row>
    <row r="260" spans="3:26" x14ac:dyDescent="0.2">
      <c r="C260" s="1"/>
      <c r="E260" s="1"/>
      <c r="F260" s="1"/>
      <c r="G260" s="1"/>
      <c r="H260" s="1"/>
      <c r="I260" s="1"/>
      <c r="J260" s="1"/>
      <c r="K260" s="1"/>
      <c r="L260" s="1"/>
      <c r="M260" s="1"/>
      <c r="N260" s="1"/>
      <c r="O260" s="1"/>
      <c r="P260" s="1"/>
      <c r="Q260" s="1"/>
      <c r="R260" s="1"/>
      <c r="S260" s="1"/>
      <c r="T260" s="1"/>
      <c r="U260" s="1"/>
      <c r="V260" s="1"/>
      <c r="W260" s="1"/>
      <c r="X260" s="1"/>
      <c r="Y260" s="1"/>
      <c r="Z260" s="1"/>
    </row>
    <row r="261" spans="3:26" x14ac:dyDescent="0.2">
      <c r="C261" s="1"/>
      <c r="E261" s="1"/>
      <c r="F261" s="1"/>
      <c r="G261" s="1"/>
      <c r="H261" s="1"/>
      <c r="I261" s="1"/>
      <c r="J261" s="1"/>
      <c r="K261" s="1"/>
      <c r="L261" s="1"/>
      <c r="M261" s="1"/>
      <c r="N261" s="1"/>
      <c r="O261" s="1"/>
      <c r="P261" s="1"/>
      <c r="Q261" s="1"/>
      <c r="R261" s="1"/>
      <c r="S261" s="1"/>
      <c r="T261" s="1"/>
      <c r="U261" s="1"/>
      <c r="V261" s="1"/>
      <c r="W261" s="1"/>
      <c r="X261" s="1"/>
      <c r="Y261" s="1"/>
      <c r="Z261" s="1"/>
    </row>
    <row r="262" spans="3:26" x14ac:dyDescent="0.2">
      <c r="C262" s="1"/>
      <c r="E262" s="1"/>
      <c r="F262" s="1"/>
      <c r="G262" s="1"/>
      <c r="H262" s="1"/>
      <c r="I262" s="1"/>
      <c r="J262" s="1"/>
      <c r="K262" s="1"/>
      <c r="L262" s="1"/>
      <c r="M262" s="1"/>
      <c r="N262" s="1"/>
      <c r="O262" s="1"/>
      <c r="P262" s="1"/>
      <c r="Q262" s="1"/>
      <c r="R262" s="1"/>
      <c r="S262" s="1"/>
      <c r="T262" s="1"/>
      <c r="U262" s="1"/>
      <c r="V262" s="1"/>
      <c r="W262" s="1"/>
      <c r="X262" s="1"/>
      <c r="Y262" s="1"/>
      <c r="Z262" s="1"/>
    </row>
    <row r="263" spans="3:26" x14ac:dyDescent="0.2">
      <c r="C263" s="1"/>
      <c r="E263" s="1"/>
      <c r="F263" s="1"/>
      <c r="G263" s="1"/>
      <c r="H263" s="1"/>
      <c r="I263" s="1"/>
      <c r="J263" s="1"/>
      <c r="K263" s="1"/>
      <c r="L263" s="1"/>
      <c r="M263" s="1"/>
      <c r="N263" s="1"/>
      <c r="O263" s="1"/>
      <c r="P263" s="1"/>
      <c r="Q263" s="1"/>
      <c r="R263" s="1"/>
      <c r="S263" s="1"/>
      <c r="T263" s="1"/>
      <c r="U263" s="1"/>
      <c r="V263" s="1"/>
      <c r="W263" s="1"/>
      <c r="X263" s="1"/>
      <c r="Y263" s="1"/>
      <c r="Z263" s="1"/>
    </row>
    <row r="264" spans="3:26" x14ac:dyDescent="0.2">
      <c r="C264" s="1"/>
      <c r="E264" s="1"/>
      <c r="F264" s="1"/>
      <c r="G264" s="1"/>
      <c r="H264" s="1"/>
      <c r="I264" s="1"/>
      <c r="J264" s="1"/>
      <c r="K264" s="1"/>
      <c r="L264" s="1"/>
      <c r="M264" s="1"/>
      <c r="N264" s="1"/>
      <c r="O264" s="1"/>
      <c r="P264" s="1"/>
      <c r="Q264" s="1"/>
      <c r="R264" s="1"/>
      <c r="S264" s="1"/>
      <c r="T264" s="1"/>
      <c r="U264" s="1"/>
      <c r="V264" s="1"/>
      <c r="W264" s="1"/>
      <c r="X264" s="1"/>
      <c r="Y264" s="1"/>
      <c r="Z264" s="1"/>
    </row>
    <row r="265" spans="3:26" x14ac:dyDescent="0.2">
      <c r="C265" s="1"/>
      <c r="E265" s="1"/>
      <c r="F265" s="1"/>
      <c r="G265" s="1"/>
      <c r="H265" s="1"/>
      <c r="I265" s="1"/>
      <c r="J265" s="1"/>
      <c r="K265" s="1"/>
      <c r="L265" s="1"/>
      <c r="M265" s="1"/>
      <c r="N265" s="1"/>
      <c r="O265" s="1"/>
      <c r="P265" s="1"/>
      <c r="Q265" s="1"/>
      <c r="R265" s="1"/>
      <c r="S265" s="1"/>
      <c r="T265" s="1"/>
      <c r="U265" s="1"/>
      <c r="V265" s="1"/>
      <c r="W265" s="1"/>
      <c r="X265" s="1"/>
      <c r="Y265" s="1"/>
      <c r="Z265" s="1"/>
    </row>
    <row r="266" spans="3:26" x14ac:dyDescent="0.2">
      <c r="C266" s="1"/>
      <c r="E266" s="1"/>
      <c r="F266" s="1"/>
      <c r="G266" s="1"/>
      <c r="H266" s="1"/>
      <c r="I266" s="1"/>
      <c r="J266" s="1"/>
      <c r="K266" s="1"/>
      <c r="L266" s="1"/>
      <c r="M266" s="1"/>
      <c r="N266" s="1"/>
      <c r="O266" s="1"/>
      <c r="P266" s="1"/>
      <c r="Q266" s="1"/>
      <c r="R266" s="1"/>
      <c r="S266" s="1"/>
      <c r="T266" s="1"/>
      <c r="U266" s="1"/>
      <c r="V266" s="1"/>
      <c r="W266" s="1"/>
      <c r="X266" s="1"/>
      <c r="Y266" s="1"/>
      <c r="Z266" s="1"/>
    </row>
    <row r="267" spans="3:26" x14ac:dyDescent="0.2">
      <c r="C267" s="1"/>
      <c r="E267" s="1"/>
      <c r="F267" s="1"/>
      <c r="G267" s="1"/>
      <c r="H267" s="1"/>
      <c r="I267" s="1"/>
      <c r="J267" s="1"/>
      <c r="K267" s="1"/>
      <c r="L267" s="1"/>
      <c r="M267" s="1"/>
      <c r="N267" s="1"/>
      <c r="O267" s="1"/>
      <c r="P267" s="1"/>
      <c r="Q267" s="1"/>
      <c r="R267" s="1"/>
      <c r="S267" s="1"/>
      <c r="T267" s="1"/>
      <c r="U267" s="1"/>
      <c r="V267" s="1"/>
      <c r="W267" s="1"/>
      <c r="X267" s="1"/>
      <c r="Y267" s="1"/>
      <c r="Z267" s="1"/>
    </row>
    <row r="268" spans="3:26" x14ac:dyDescent="0.2">
      <c r="C268" s="1"/>
      <c r="E268" s="1"/>
      <c r="F268" s="1"/>
      <c r="G268" s="1"/>
      <c r="H268" s="1"/>
      <c r="I268" s="1"/>
      <c r="J268" s="1"/>
      <c r="K268" s="1"/>
      <c r="L268" s="1"/>
      <c r="M268" s="1"/>
      <c r="N268" s="1"/>
      <c r="O268" s="1"/>
      <c r="P268" s="1"/>
      <c r="Q268" s="1"/>
      <c r="R268" s="1"/>
      <c r="S268" s="1"/>
      <c r="T268" s="1"/>
      <c r="U268" s="1"/>
      <c r="V268" s="1"/>
      <c r="W268" s="1"/>
      <c r="X268" s="1"/>
      <c r="Y268" s="1"/>
      <c r="Z268" s="1"/>
    </row>
    <row r="269" spans="3:26" x14ac:dyDescent="0.2">
      <c r="C269" s="1"/>
      <c r="E269" s="1"/>
      <c r="F269" s="1"/>
      <c r="G269" s="1"/>
      <c r="H269" s="1"/>
      <c r="I269" s="1"/>
      <c r="J269" s="1"/>
      <c r="K269" s="1"/>
      <c r="L269" s="1"/>
      <c r="M269" s="1"/>
      <c r="N269" s="1"/>
      <c r="O269" s="1"/>
      <c r="P269" s="1"/>
      <c r="Q269" s="1"/>
      <c r="R269" s="1"/>
      <c r="S269" s="1"/>
      <c r="T269" s="1"/>
      <c r="U269" s="1"/>
      <c r="V269" s="1"/>
      <c r="W269" s="1"/>
      <c r="X269" s="1"/>
      <c r="Y269" s="1"/>
      <c r="Z269" s="1"/>
    </row>
    <row r="270" spans="3:26" x14ac:dyDescent="0.2">
      <c r="C270" s="1"/>
      <c r="E270" s="1"/>
      <c r="F270" s="1"/>
      <c r="G270" s="1"/>
      <c r="H270" s="1"/>
      <c r="I270" s="1"/>
      <c r="J270" s="1"/>
      <c r="K270" s="1"/>
      <c r="L270" s="1"/>
      <c r="M270" s="1"/>
      <c r="N270" s="1"/>
      <c r="O270" s="1"/>
      <c r="P270" s="1"/>
      <c r="Q270" s="1"/>
      <c r="R270" s="1"/>
      <c r="S270" s="1"/>
      <c r="T270" s="1"/>
      <c r="U270" s="1"/>
      <c r="V270" s="1"/>
      <c r="W270" s="1"/>
      <c r="X270" s="1"/>
      <c r="Y270" s="1"/>
      <c r="Z270" s="1"/>
    </row>
    <row r="271" spans="3:26" x14ac:dyDescent="0.2">
      <c r="C271" s="1"/>
      <c r="E271" s="1"/>
      <c r="F271" s="1"/>
      <c r="G271" s="1"/>
      <c r="H271" s="1"/>
      <c r="I271" s="1"/>
      <c r="J271" s="1"/>
      <c r="K271" s="1"/>
      <c r="L271" s="1"/>
      <c r="M271" s="1"/>
      <c r="N271" s="1"/>
      <c r="O271" s="1"/>
      <c r="P271" s="1"/>
      <c r="Q271" s="1"/>
      <c r="R271" s="1"/>
      <c r="S271" s="1"/>
      <c r="T271" s="1"/>
      <c r="U271" s="1"/>
      <c r="V271" s="1"/>
      <c r="W271" s="1"/>
      <c r="X271" s="1"/>
      <c r="Y271" s="1"/>
      <c r="Z271" s="1"/>
    </row>
    <row r="272" spans="3:26" x14ac:dyDescent="0.2">
      <c r="C272" s="1"/>
      <c r="E272" s="1"/>
      <c r="F272" s="1"/>
      <c r="G272" s="1"/>
      <c r="H272" s="1"/>
      <c r="I272" s="1"/>
      <c r="J272" s="1"/>
      <c r="K272" s="1"/>
      <c r="L272" s="1"/>
      <c r="M272" s="1"/>
      <c r="N272" s="1"/>
      <c r="O272" s="1"/>
      <c r="P272" s="1"/>
      <c r="Q272" s="1"/>
      <c r="R272" s="1"/>
      <c r="S272" s="1"/>
      <c r="T272" s="1"/>
      <c r="U272" s="1"/>
      <c r="V272" s="1"/>
      <c r="W272" s="1"/>
      <c r="X272" s="1"/>
      <c r="Y272" s="1"/>
      <c r="Z272" s="1"/>
    </row>
    <row r="273" spans="3:26" ht="18" customHeight="1" x14ac:dyDescent="0.2">
      <c r="C273" s="1"/>
      <c r="E273" s="1"/>
      <c r="F273" s="1"/>
      <c r="G273" s="1"/>
      <c r="H273" s="1"/>
      <c r="I273" s="1"/>
      <c r="J273" s="1"/>
      <c r="K273" s="1"/>
      <c r="L273" s="1"/>
      <c r="M273" s="1"/>
      <c r="N273" s="1"/>
      <c r="O273" s="1"/>
      <c r="P273" s="1"/>
      <c r="Q273" s="1"/>
      <c r="R273" s="1"/>
      <c r="S273" s="1"/>
      <c r="T273" s="1"/>
      <c r="U273" s="1"/>
      <c r="V273" s="1"/>
      <c r="W273" s="1"/>
      <c r="X273" s="1"/>
      <c r="Y273" s="1"/>
      <c r="Z273" s="1"/>
    </row>
    <row r="274" spans="3:26" x14ac:dyDescent="0.2">
      <c r="C274" s="1"/>
      <c r="E274" s="1"/>
      <c r="F274" s="1"/>
      <c r="G274" s="1"/>
      <c r="H274" s="1"/>
      <c r="I274" s="1"/>
      <c r="J274" s="1"/>
      <c r="K274" s="1"/>
      <c r="L274" s="1"/>
      <c r="M274" s="1"/>
      <c r="N274" s="1"/>
      <c r="O274" s="1"/>
      <c r="P274" s="1"/>
      <c r="Q274" s="1"/>
      <c r="R274" s="1"/>
      <c r="S274" s="1"/>
      <c r="T274" s="1"/>
      <c r="U274" s="1"/>
      <c r="V274" s="1"/>
      <c r="W274" s="1"/>
      <c r="X274" s="1"/>
      <c r="Y274" s="1"/>
      <c r="Z274" s="1"/>
    </row>
    <row r="275" spans="3:26" x14ac:dyDescent="0.2">
      <c r="C275" s="1"/>
      <c r="E275" s="1"/>
      <c r="F275" s="1"/>
      <c r="G275" s="1"/>
      <c r="H275" s="1"/>
      <c r="I275" s="1"/>
      <c r="J275" s="1"/>
      <c r="K275" s="1"/>
      <c r="L275" s="1"/>
      <c r="M275" s="1"/>
      <c r="N275" s="1"/>
      <c r="O275" s="1"/>
      <c r="P275" s="1"/>
      <c r="Q275" s="1"/>
      <c r="R275" s="1"/>
      <c r="S275" s="1"/>
      <c r="T275" s="1"/>
      <c r="U275" s="1"/>
      <c r="V275" s="1"/>
      <c r="W275" s="1"/>
      <c r="X275" s="1"/>
      <c r="Y275" s="1"/>
      <c r="Z275" s="1"/>
    </row>
    <row r="276" spans="3:26" x14ac:dyDescent="0.2">
      <c r="C276" s="1"/>
      <c r="E276" s="1"/>
      <c r="F276" s="1"/>
      <c r="G276" s="1"/>
      <c r="H276" s="1"/>
      <c r="I276" s="1"/>
      <c r="J276" s="1"/>
      <c r="K276" s="1"/>
      <c r="L276" s="1"/>
      <c r="M276" s="1"/>
      <c r="N276" s="1"/>
      <c r="O276" s="1"/>
      <c r="P276" s="1"/>
      <c r="Q276" s="1"/>
      <c r="R276" s="1"/>
      <c r="S276" s="1"/>
      <c r="T276" s="1"/>
      <c r="U276" s="1"/>
      <c r="V276" s="1"/>
      <c r="W276" s="1"/>
      <c r="X276" s="1"/>
      <c r="Y276" s="1"/>
      <c r="Z276" s="1"/>
    </row>
    <row r="277" spans="3:26" x14ac:dyDescent="0.2">
      <c r="C277" s="1"/>
      <c r="E277" s="1"/>
      <c r="F277" s="1"/>
      <c r="G277" s="1"/>
      <c r="H277" s="1"/>
      <c r="I277" s="1"/>
      <c r="J277" s="1"/>
      <c r="K277" s="1"/>
      <c r="L277" s="1"/>
      <c r="M277" s="1"/>
      <c r="N277" s="1"/>
      <c r="O277" s="1"/>
      <c r="P277" s="1"/>
      <c r="Q277" s="1"/>
      <c r="R277" s="1"/>
      <c r="S277" s="1"/>
      <c r="T277" s="1"/>
      <c r="U277" s="1"/>
      <c r="V277" s="1"/>
      <c r="W277" s="1"/>
      <c r="X277" s="1"/>
      <c r="Y277" s="1"/>
      <c r="Z277" s="1"/>
    </row>
    <row r="278" spans="3:26" x14ac:dyDescent="0.2">
      <c r="C278" s="1"/>
      <c r="E278" s="1"/>
      <c r="F278" s="1"/>
      <c r="G278" s="1"/>
      <c r="H278" s="1"/>
      <c r="I278" s="1"/>
      <c r="J278" s="1"/>
      <c r="K278" s="1"/>
      <c r="L278" s="1"/>
      <c r="M278" s="1"/>
      <c r="N278" s="1"/>
      <c r="O278" s="1"/>
      <c r="P278" s="1"/>
      <c r="Q278" s="1"/>
      <c r="R278" s="1"/>
      <c r="S278" s="1"/>
      <c r="T278" s="1"/>
      <c r="U278" s="1"/>
      <c r="V278" s="1"/>
      <c r="W278" s="1"/>
      <c r="X278" s="1"/>
      <c r="Y278" s="1"/>
      <c r="Z278" s="1"/>
    </row>
    <row r="279" spans="3:26" ht="18" customHeight="1" x14ac:dyDescent="0.2">
      <c r="C279" s="1"/>
      <c r="E279" s="1"/>
      <c r="F279" s="1"/>
      <c r="G279" s="1"/>
      <c r="H279" s="1"/>
      <c r="I279" s="1"/>
      <c r="J279" s="1"/>
      <c r="K279" s="1"/>
      <c r="L279" s="1"/>
      <c r="M279" s="1"/>
      <c r="N279" s="1"/>
      <c r="O279" s="1"/>
      <c r="P279" s="1"/>
      <c r="Q279" s="1"/>
      <c r="R279" s="1"/>
      <c r="S279" s="1"/>
      <c r="T279" s="1"/>
      <c r="U279" s="1"/>
      <c r="V279" s="1"/>
      <c r="W279" s="1"/>
      <c r="X279" s="1"/>
      <c r="Y279" s="1"/>
      <c r="Z279" s="1"/>
    </row>
    <row r="280" spans="3:26" x14ac:dyDescent="0.2">
      <c r="C280" s="1"/>
      <c r="E280" s="1"/>
      <c r="F280" s="1"/>
      <c r="G280" s="1"/>
      <c r="H280" s="1"/>
      <c r="I280" s="1"/>
      <c r="J280" s="1"/>
      <c r="K280" s="1"/>
      <c r="L280" s="1"/>
      <c r="M280" s="1"/>
      <c r="N280" s="1"/>
      <c r="O280" s="1"/>
      <c r="P280" s="1"/>
      <c r="Q280" s="1"/>
      <c r="R280" s="1"/>
      <c r="S280" s="1"/>
      <c r="T280" s="1"/>
      <c r="U280" s="1"/>
      <c r="V280" s="1"/>
      <c r="W280" s="1"/>
      <c r="X280" s="1"/>
      <c r="Y280" s="1"/>
      <c r="Z280" s="1"/>
    </row>
    <row r="281" spans="3:26" x14ac:dyDescent="0.2">
      <c r="C281" s="1"/>
      <c r="E281" s="1"/>
      <c r="F281" s="1"/>
      <c r="G281" s="1"/>
      <c r="H281" s="1"/>
      <c r="I281" s="1"/>
      <c r="J281" s="1"/>
      <c r="K281" s="1"/>
      <c r="L281" s="1"/>
      <c r="M281" s="1"/>
      <c r="N281" s="1"/>
      <c r="O281" s="1"/>
      <c r="P281" s="1"/>
      <c r="Q281" s="1"/>
      <c r="R281" s="1"/>
      <c r="S281" s="1"/>
      <c r="T281" s="1"/>
      <c r="U281" s="1"/>
      <c r="V281" s="1"/>
      <c r="W281" s="1"/>
      <c r="X281" s="1"/>
      <c r="Y281" s="1"/>
      <c r="Z281" s="1"/>
    </row>
    <row r="282" spans="3:26" x14ac:dyDescent="0.2">
      <c r="C282" s="1"/>
      <c r="E282" s="1"/>
      <c r="F282" s="1"/>
      <c r="G282" s="1"/>
      <c r="H282" s="1"/>
      <c r="I282" s="1"/>
      <c r="J282" s="1"/>
      <c r="K282" s="1"/>
      <c r="L282" s="1"/>
      <c r="M282" s="1"/>
      <c r="N282" s="1"/>
      <c r="O282" s="1"/>
      <c r="P282" s="1"/>
      <c r="Q282" s="1"/>
      <c r="R282" s="1"/>
      <c r="S282" s="1"/>
      <c r="T282" s="1"/>
      <c r="U282" s="1"/>
      <c r="V282" s="1"/>
      <c r="W282" s="1"/>
      <c r="X282" s="1"/>
      <c r="Y282" s="1"/>
      <c r="Z282" s="1"/>
    </row>
  </sheetData>
  <mergeCells count="70">
    <mergeCell ref="B1:AD1"/>
    <mergeCell ref="B5:D6"/>
    <mergeCell ref="E5:Z5"/>
    <mergeCell ref="AA6:AB6"/>
    <mergeCell ref="AC6:AD6"/>
    <mergeCell ref="B3:AD3"/>
    <mergeCell ref="B4:AD4"/>
    <mergeCell ref="AA5:AD5"/>
    <mergeCell ref="Y6:Z6"/>
    <mergeCell ref="O6:P6"/>
    <mergeCell ref="Q6:R6"/>
    <mergeCell ref="E6:F6"/>
    <mergeCell ref="K6:L6"/>
    <mergeCell ref="U6:V6"/>
    <mergeCell ref="M6:N6"/>
    <mergeCell ref="W6:X6"/>
    <mergeCell ref="C65:D65"/>
    <mergeCell ref="C70:D70"/>
    <mergeCell ref="C61:D61"/>
    <mergeCell ref="C51:D51"/>
    <mergeCell ref="C56:D56"/>
    <mergeCell ref="C60:D60"/>
    <mergeCell ref="C52:D52"/>
    <mergeCell ref="C69:D69"/>
    <mergeCell ref="I6:J6"/>
    <mergeCell ref="G6:H6"/>
    <mergeCell ref="S6:T6"/>
    <mergeCell ref="C19:D19"/>
    <mergeCell ref="C14:D14"/>
    <mergeCell ref="C7:D7"/>
    <mergeCell ref="C8:D8"/>
    <mergeCell ref="C9:D9"/>
    <mergeCell ref="I49:J49"/>
    <mergeCell ref="K49:L49"/>
    <mergeCell ref="C13:D13"/>
    <mergeCell ref="C18:D18"/>
    <mergeCell ref="C33:D33"/>
    <mergeCell ref="C38:D38"/>
    <mergeCell ref="B45:AD45"/>
    <mergeCell ref="B46:AD46"/>
    <mergeCell ref="C39:D39"/>
    <mergeCell ref="C34:D34"/>
    <mergeCell ref="W49:X49"/>
    <mergeCell ref="AA49:AB49"/>
    <mergeCell ref="AC49:AD49"/>
    <mergeCell ref="M49:N49"/>
    <mergeCell ref="B48:D49"/>
    <mergeCell ref="E48:Z48"/>
    <mergeCell ref="AA48:AD48"/>
    <mergeCell ref="E49:F49"/>
    <mergeCell ref="G49:H49"/>
    <mergeCell ref="U49:V49"/>
    <mergeCell ref="Y49:Z49"/>
    <mergeCell ref="O49:P49"/>
    <mergeCell ref="Q49:R49"/>
    <mergeCell ref="S49:T49"/>
    <mergeCell ref="C79:D79"/>
    <mergeCell ref="C80:D80"/>
    <mergeCell ref="C74:D74"/>
    <mergeCell ref="C75:D75"/>
    <mergeCell ref="B99:AC99"/>
    <mergeCell ref="B94:G94"/>
    <mergeCell ref="B98:U98"/>
    <mergeCell ref="B97:K97"/>
    <mergeCell ref="B90:D90"/>
    <mergeCell ref="B91:D91"/>
    <mergeCell ref="B92:D92"/>
    <mergeCell ref="B93:D93"/>
    <mergeCell ref="C84:D84"/>
    <mergeCell ref="C85:D85"/>
  </mergeCells>
  <phoneticPr fontId="2" type="noConversion"/>
  <printOptions horizontalCentered="1" verticalCentered="1"/>
  <pageMargins left="0" right="0" top="0" bottom="0" header="0" footer="0"/>
  <pageSetup paperSize="9" scale="25" orientation="landscape" r:id="rId1"/>
  <headerFooter alignWithMargins="0"/>
  <rowBreaks count="6" manualBreakCount="6">
    <brk id="43" min="1" max="29" man="1"/>
    <brk id="99" min="1" max="29" man="1"/>
    <brk id="148" max="32" man="1"/>
    <brk id="162" max="32" man="1"/>
    <brk id="208" max="36" man="1"/>
    <brk id="235" min="2" max="3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B1:AD24"/>
  <sheetViews>
    <sheetView showGridLines="0" zoomScale="70" zoomScaleNormal="70" zoomScaleSheetLayoutView="80" workbookViewId="0">
      <selection activeCell="N9" sqref="N9"/>
    </sheetView>
  </sheetViews>
  <sheetFormatPr baseColWidth="10" defaultColWidth="11.42578125" defaultRowHeight="12.75" x14ac:dyDescent="0.2"/>
  <cols>
    <col min="1" max="1" width="11.42578125" style="38"/>
    <col min="2" max="2" width="1.7109375" style="38" customWidth="1"/>
    <col min="3" max="3" width="28" style="38" customWidth="1"/>
    <col min="4" max="4" width="18.7109375" style="38" customWidth="1"/>
    <col min="5" max="5" width="2.7109375" style="38" customWidth="1"/>
    <col min="6" max="6" width="24.7109375" style="38" customWidth="1"/>
    <col min="7" max="7" width="5.7109375" style="38" customWidth="1"/>
    <col min="8" max="8" width="30.7109375" style="38" customWidth="1"/>
    <col min="9" max="9" width="5.7109375" style="38" customWidth="1"/>
    <col min="10" max="16384" width="11.42578125" style="38"/>
  </cols>
  <sheetData>
    <row r="1" spans="2:10" ht="30" customHeight="1" x14ac:dyDescent="0.2">
      <c r="B1" s="691" t="s">
        <v>65</v>
      </c>
      <c r="C1" s="691"/>
      <c r="D1" s="691"/>
      <c r="E1" s="691"/>
      <c r="F1" s="691"/>
      <c r="G1" s="691"/>
      <c r="H1" s="691"/>
      <c r="I1" s="691"/>
    </row>
    <row r="2" spans="2:10" ht="30" customHeight="1" x14ac:dyDescent="0.2">
      <c r="B2" s="73" t="s">
        <v>145</v>
      </c>
      <c r="C2" s="73"/>
      <c r="D2" s="73"/>
      <c r="E2" s="73"/>
      <c r="F2" s="73"/>
      <c r="G2" s="73"/>
      <c r="H2" s="73"/>
      <c r="I2" s="73"/>
      <c r="J2" s="73"/>
    </row>
    <row r="3" spans="2:10" ht="44.25" customHeight="1" x14ac:dyDescent="0.2">
      <c r="B3" s="692" t="s">
        <v>287</v>
      </c>
      <c r="C3" s="692"/>
      <c r="D3" s="692"/>
      <c r="E3" s="692"/>
      <c r="F3" s="692"/>
      <c r="G3" s="692"/>
      <c r="H3" s="692"/>
      <c r="I3" s="692"/>
    </row>
    <row r="4" spans="2:10" ht="34.5" customHeight="1" x14ac:dyDescent="0.2">
      <c r="B4" s="691">
        <v>2025</v>
      </c>
      <c r="C4" s="691"/>
      <c r="D4" s="691"/>
      <c r="E4" s="691"/>
      <c r="F4" s="691"/>
      <c r="G4" s="691"/>
      <c r="H4" s="691"/>
      <c r="I4" s="691"/>
    </row>
    <row r="5" spans="2:10" ht="48.75" customHeight="1" x14ac:dyDescent="0.2">
      <c r="B5" s="708" t="s">
        <v>223</v>
      </c>
      <c r="C5" s="723"/>
      <c r="D5" s="708" t="s">
        <v>2</v>
      </c>
      <c r="E5" s="708"/>
      <c r="F5" s="748" t="s">
        <v>15</v>
      </c>
      <c r="G5" s="709"/>
      <c r="H5" s="750" t="s">
        <v>66</v>
      </c>
      <c r="I5" s="750"/>
    </row>
    <row r="6" spans="2:10" ht="10.5" customHeight="1" x14ac:dyDescent="0.2">
      <c r="B6" s="479"/>
      <c r="C6" s="479"/>
      <c r="D6" s="155"/>
      <c r="E6" s="155"/>
      <c r="F6" s="338"/>
      <c r="G6" s="338"/>
      <c r="H6" s="338"/>
      <c r="I6" s="338"/>
    </row>
    <row r="7" spans="2:10" ht="25.15" customHeight="1" x14ac:dyDescent="0.2">
      <c r="B7" s="39"/>
      <c r="C7" s="388" t="s">
        <v>25</v>
      </c>
      <c r="D7" s="535">
        <v>2</v>
      </c>
      <c r="E7" s="254"/>
      <c r="F7" s="535">
        <v>60</v>
      </c>
      <c r="G7" s="254"/>
      <c r="H7" s="535">
        <v>76032</v>
      </c>
      <c r="I7" s="339"/>
    </row>
    <row r="8" spans="2:10" ht="25.15" customHeight="1" x14ac:dyDescent="0.2">
      <c r="B8" s="39"/>
      <c r="C8" s="388" t="s">
        <v>26</v>
      </c>
      <c r="D8" s="535">
        <v>3</v>
      </c>
      <c r="E8" s="254"/>
      <c r="F8" s="535">
        <v>130</v>
      </c>
      <c r="G8" s="254"/>
      <c r="H8" s="535">
        <v>18464</v>
      </c>
      <c r="I8" s="194"/>
    </row>
    <row r="9" spans="2:10" ht="25.15" customHeight="1" x14ac:dyDescent="0.2">
      <c r="B9" s="39"/>
      <c r="C9" s="388" t="s">
        <v>27</v>
      </c>
      <c r="D9" s="535">
        <v>3</v>
      </c>
      <c r="E9" s="254"/>
      <c r="F9" s="535">
        <v>965</v>
      </c>
      <c r="G9" s="254"/>
      <c r="H9" s="535">
        <v>34168</v>
      </c>
      <c r="I9" s="1"/>
    </row>
    <row r="10" spans="2:10" ht="25.15" customHeight="1" x14ac:dyDescent="0.2">
      <c r="B10" s="39"/>
      <c r="C10" s="388" t="s">
        <v>28</v>
      </c>
      <c r="D10" s="535">
        <v>5</v>
      </c>
      <c r="E10" s="254"/>
      <c r="F10" s="535">
        <v>554</v>
      </c>
      <c r="G10" s="254"/>
      <c r="H10" s="535">
        <v>29968</v>
      </c>
      <c r="I10" s="1"/>
    </row>
    <row r="11" spans="2:10" ht="25.15" customHeight="1" x14ac:dyDescent="0.2">
      <c r="B11" s="39"/>
      <c r="C11" s="388" t="s">
        <v>178</v>
      </c>
      <c r="D11" s="535">
        <v>4</v>
      </c>
      <c r="E11" s="254"/>
      <c r="F11" s="535">
        <v>399</v>
      </c>
      <c r="G11" s="254"/>
      <c r="H11" s="535">
        <v>38920</v>
      </c>
      <c r="I11" s="1"/>
    </row>
    <row r="12" spans="2:10" ht="25.15" customHeight="1" x14ac:dyDescent="0.2">
      <c r="B12" s="39"/>
      <c r="C12" s="388" t="s">
        <v>43</v>
      </c>
      <c r="D12" s="535">
        <v>9</v>
      </c>
      <c r="E12" s="254"/>
      <c r="F12" s="535">
        <v>1182</v>
      </c>
      <c r="G12" s="254"/>
      <c r="H12" s="535">
        <v>33736</v>
      </c>
      <c r="I12" s="1"/>
    </row>
    <row r="13" spans="2:10" ht="25.15" customHeight="1" x14ac:dyDescent="0.2">
      <c r="B13" s="39"/>
      <c r="C13" s="388" t="s">
        <v>179</v>
      </c>
      <c r="D13" s="535">
        <v>4</v>
      </c>
      <c r="E13" s="254"/>
      <c r="F13" s="535">
        <v>4061</v>
      </c>
      <c r="G13" s="254"/>
      <c r="H13" s="535">
        <v>100908</v>
      </c>
      <c r="I13" s="7"/>
    </row>
    <row r="14" spans="2:10" ht="25.15" customHeight="1" x14ac:dyDescent="0.2">
      <c r="B14" s="39"/>
      <c r="C14" s="388" t="s">
        <v>55</v>
      </c>
      <c r="D14" s="535">
        <v>5</v>
      </c>
      <c r="E14" s="254"/>
      <c r="F14" s="535">
        <v>2258</v>
      </c>
      <c r="G14" s="254"/>
      <c r="H14" s="535">
        <v>197336</v>
      </c>
      <c r="I14" s="1"/>
    </row>
    <row r="15" spans="2:10" ht="25.15" customHeight="1" x14ac:dyDescent="0.2">
      <c r="B15" s="39"/>
      <c r="C15" s="388" t="s">
        <v>54</v>
      </c>
      <c r="D15" s="535">
        <v>11</v>
      </c>
      <c r="E15" s="254"/>
      <c r="F15" s="535">
        <v>18268</v>
      </c>
      <c r="G15" s="254"/>
      <c r="H15" s="535">
        <v>1383394</v>
      </c>
      <c r="I15" s="1"/>
    </row>
    <row r="16" spans="2:10" ht="25.15" customHeight="1" x14ac:dyDescent="0.2">
      <c r="B16" s="39"/>
      <c r="C16" s="388" t="s">
        <v>34</v>
      </c>
      <c r="D16" s="535">
        <v>4</v>
      </c>
      <c r="E16" s="254"/>
      <c r="F16" s="535">
        <v>8677</v>
      </c>
      <c r="G16" s="254"/>
      <c r="H16" s="535">
        <v>138376</v>
      </c>
      <c r="I16" s="53"/>
    </row>
    <row r="17" spans="2:30" ht="25.15" customHeight="1" x14ac:dyDescent="0.2">
      <c r="B17" s="39"/>
      <c r="C17" s="388" t="s">
        <v>35</v>
      </c>
      <c r="D17" s="535">
        <v>7</v>
      </c>
      <c r="E17" s="254"/>
      <c r="F17" s="535">
        <v>36922</v>
      </c>
      <c r="G17" s="254"/>
      <c r="H17" s="535">
        <v>4700512</v>
      </c>
      <c r="I17" s="53"/>
    </row>
    <row r="18" spans="2:30" ht="25.15" customHeight="1" x14ac:dyDescent="0.2">
      <c r="B18" s="39"/>
      <c r="C18" s="388" t="s">
        <v>36</v>
      </c>
      <c r="D18" s="535">
        <v>1</v>
      </c>
      <c r="E18" s="254"/>
      <c r="F18" s="535">
        <v>890</v>
      </c>
      <c r="G18" s="254"/>
      <c r="H18" s="535">
        <v>1029920</v>
      </c>
      <c r="I18" s="1"/>
    </row>
    <row r="19" spans="2:30" ht="10.5" customHeight="1" x14ac:dyDescent="0.2">
      <c r="B19" s="37"/>
      <c r="C19" s="388"/>
      <c r="D19" s="70"/>
      <c r="E19" s="70"/>
      <c r="F19" s="70"/>
      <c r="G19" s="70"/>
      <c r="H19" s="70"/>
      <c r="I19" s="1"/>
    </row>
    <row r="20" spans="2:30" ht="43.5" customHeight="1" x14ac:dyDescent="0.2">
      <c r="B20" s="414"/>
      <c r="C20" s="410" t="s">
        <v>6</v>
      </c>
      <c r="D20" s="454">
        <f>SUM(D7:D19)</f>
        <v>58</v>
      </c>
      <c r="E20" s="454"/>
      <c r="F20" s="454">
        <f>SUM(F7:F19)</f>
        <v>74366</v>
      </c>
      <c r="G20" s="454"/>
      <c r="H20" s="454">
        <f>SUM(H7:H19)</f>
        <v>7781734</v>
      </c>
      <c r="I20" s="480"/>
    </row>
    <row r="21" spans="2:30" s="1" customFormat="1" ht="8.25" customHeight="1" x14ac:dyDescent="0.2">
      <c r="H21" s="186"/>
    </row>
    <row r="22" spans="2:30" s="1" customFormat="1" ht="29.25" customHeight="1" x14ac:dyDescent="0.2">
      <c r="B22" s="5" t="s">
        <v>217</v>
      </c>
      <c r="C22" s="6"/>
      <c r="D22" s="6"/>
      <c r="E22" s="6"/>
      <c r="F22" s="6"/>
      <c r="G22" s="7"/>
      <c r="H22" s="6"/>
      <c r="I22" s="6"/>
      <c r="Y22" s="8"/>
      <c r="Z22" s="4"/>
      <c r="AA22" s="8"/>
      <c r="AB22" s="9"/>
      <c r="AC22" s="8"/>
      <c r="AD22" s="9"/>
    </row>
    <row r="23" spans="2:30" s="1" customFormat="1" ht="29.25" customHeight="1" x14ac:dyDescent="0.2">
      <c r="B23" s="10" t="s">
        <v>257</v>
      </c>
      <c r="C23" s="11"/>
      <c r="D23" s="11"/>
      <c r="E23" s="11"/>
      <c r="F23" s="11"/>
      <c r="G23" s="11"/>
      <c r="H23" s="12"/>
      <c r="I23" s="12"/>
      <c r="J23" s="12"/>
      <c r="K23" s="12"/>
      <c r="Z23" s="13"/>
      <c r="AA23" s="14"/>
      <c r="AB23" s="13"/>
      <c r="AC23" s="14"/>
      <c r="AD23" s="15"/>
    </row>
    <row r="24" spans="2:30" s="1" customFormat="1" ht="29.25" customHeight="1" x14ac:dyDescent="0.2">
      <c r="B24" s="16" t="s">
        <v>245</v>
      </c>
      <c r="D24" s="17"/>
      <c r="E24" s="18"/>
      <c r="F24" s="17"/>
      <c r="G24" s="19"/>
      <c r="H24" s="20"/>
      <c r="I24" s="21"/>
      <c r="J24" s="21"/>
    </row>
  </sheetData>
  <mergeCells count="7">
    <mergeCell ref="B1:I1"/>
    <mergeCell ref="H5:I5"/>
    <mergeCell ref="B3:I3"/>
    <mergeCell ref="B4:I4"/>
    <mergeCell ref="B5:C5"/>
    <mergeCell ref="D5:E5"/>
    <mergeCell ref="F5:G5"/>
  </mergeCells>
  <phoneticPr fontId="2" type="noConversion"/>
  <printOptions horizontalCentered="1" verticalCentered="1"/>
  <pageMargins left="0" right="0" top="0" bottom="0" header="0" footer="0"/>
  <pageSetup paperSize="9" scale="65"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B1:AD44"/>
  <sheetViews>
    <sheetView showGridLines="0" topLeftCell="A16" zoomScale="66" zoomScaleNormal="66" zoomScaleSheetLayoutView="66" workbookViewId="0">
      <selection activeCell="X23" sqref="X23"/>
    </sheetView>
  </sheetViews>
  <sheetFormatPr baseColWidth="10" defaultColWidth="11.42578125" defaultRowHeight="12.75" x14ac:dyDescent="0.2"/>
  <cols>
    <col min="1" max="1" width="11.42578125" style="38"/>
    <col min="2" max="2" width="16.7109375" style="38" customWidth="1"/>
    <col min="3" max="3" width="15.7109375" style="38" customWidth="1"/>
    <col min="4" max="4" width="2.7109375" style="38" customWidth="1"/>
    <col min="5" max="5" width="15.7109375" style="38" customWidth="1"/>
    <col min="6" max="6" width="3.5703125" style="38" customWidth="1"/>
    <col min="7" max="7" width="16.28515625" style="38" customWidth="1"/>
    <col min="8" max="8" width="2.7109375" style="38" customWidth="1"/>
    <col min="9" max="9" width="12.5703125" style="38" customWidth="1"/>
    <col min="10" max="10" width="4" style="38" customWidth="1"/>
    <col min="11" max="11" width="16.5703125" style="38" customWidth="1"/>
    <col min="12" max="12" width="3.5703125" style="38" customWidth="1"/>
    <col min="13" max="13" width="16.28515625" style="38" customWidth="1"/>
    <col min="14" max="14" width="4" style="38" customWidth="1"/>
    <col min="15" max="15" width="15.28515625" style="38" customWidth="1"/>
    <col min="16" max="16" width="2.7109375" style="38" customWidth="1"/>
    <col min="17" max="17" width="18.28515625" style="38" customWidth="1"/>
    <col min="18" max="18" width="2.7109375" style="38" customWidth="1"/>
    <col min="19" max="19" width="20.7109375" style="38" customWidth="1"/>
    <col min="20" max="20" width="4.7109375" style="38" customWidth="1"/>
    <col min="21" max="16384" width="11.42578125" style="38"/>
  </cols>
  <sheetData>
    <row r="1" spans="2:20" ht="30" customHeight="1" x14ac:dyDescent="0.2">
      <c r="B1" s="691" t="s">
        <v>50</v>
      </c>
      <c r="C1" s="691"/>
      <c r="D1" s="691"/>
      <c r="E1" s="691"/>
      <c r="F1" s="691"/>
      <c r="G1" s="691"/>
      <c r="H1" s="691"/>
      <c r="I1" s="691"/>
      <c r="J1" s="691"/>
      <c r="K1" s="691"/>
      <c r="L1" s="691"/>
      <c r="M1" s="691"/>
      <c r="N1" s="691"/>
      <c r="O1" s="691"/>
      <c r="P1" s="691"/>
      <c r="Q1" s="691"/>
      <c r="R1" s="691"/>
      <c r="S1" s="691"/>
      <c r="T1" s="691"/>
    </row>
    <row r="2" spans="2:20" ht="24.75" customHeight="1" x14ac:dyDescent="0.2">
      <c r="B2" s="693" t="s">
        <v>145</v>
      </c>
      <c r="C2" s="693"/>
      <c r="D2" s="693"/>
      <c r="E2" s="693"/>
      <c r="F2" s="693"/>
      <c r="G2" s="693"/>
      <c r="H2" s="693"/>
      <c r="I2" s="693"/>
      <c r="J2" s="693"/>
      <c r="K2" s="693"/>
      <c r="L2" s="693"/>
      <c r="M2" s="693"/>
      <c r="N2" s="693"/>
      <c r="O2" s="693"/>
      <c r="P2" s="693"/>
      <c r="Q2" s="693"/>
      <c r="R2" s="693"/>
      <c r="S2" s="693"/>
    </row>
    <row r="3" spans="2:20" ht="46.5" customHeight="1" x14ac:dyDescent="0.2">
      <c r="B3" s="692" t="s">
        <v>177</v>
      </c>
      <c r="C3" s="692"/>
      <c r="D3" s="692"/>
      <c r="E3" s="692"/>
      <c r="F3" s="692"/>
      <c r="G3" s="692"/>
      <c r="H3" s="692"/>
      <c r="I3" s="692"/>
      <c r="J3" s="692"/>
      <c r="K3" s="692"/>
      <c r="L3" s="692"/>
      <c r="M3" s="692"/>
      <c r="N3" s="692"/>
      <c r="O3" s="692"/>
      <c r="P3" s="692"/>
      <c r="Q3" s="692"/>
      <c r="R3" s="692"/>
      <c r="S3" s="692"/>
      <c r="T3" s="692"/>
    </row>
    <row r="4" spans="2:20" ht="30" customHeight="1" thickBot="1" x14ac:dyDescent="0.25">
      <c r="B4" s="691" t="s">
        <v>332</v>
      </c>
      <c r="C4" s="691"/>
      <c r="D4" s="691"/>
      <c r="E4" s="691"/>
      <c r="F4" s="691"/>
      <c r="G4" s="691"/>
      <c r="H4" s="691"/>
      <c r="I4" s="691"/>
      <c r="J4" s="691"/>
      <c r="K4" s="691"/>
      <c r="L4" s="691"/>
      <c r="M4" s="691"/>
      <c r="N4" s="691"/>
      <c r="O4" s="691"/>
      <c r="P4" s="691"/>
      <c r="Q4" s="691"/>
      <c r="R4" s="691"/>
      <c r="S4" s="691"/>
    </row>
    <row r="5" spans="2:20" ht="30" customHeight="1" thickBot="1" x14ac:dyDescent="0.25">
      <c r="B5" s="845" t="s">
        <v>1</v>
      </c>
      <c r="C5" s="845" t="s">
        <v>2</v>
      </c>
      <c r="D5" s="845"/>
      <c r="E5" s="845"/>
      <c r="F5" s="845"/>
      <c r="G5" s="845"/>
      <c r="H5" s="845"/>
      <c r="I5" s="845" t="s">
        <v>11</v>
      </c>
      <c r="J5" s="845"/>
      <c r="K5" s="845"/>
      <c r="L5" s="845"/>
      <c r="M5" s="845"/>
      <c r="N5" s="845"/>
      <c r="O5" s="845" t="s">
        <v>12</v>
      </c>
      <c r="P5" s="845"/>
      <c r="Q5" s="845"/>
      <c r="R5" s="845"/>
      <c r="S5" s="845"/>
      <c r="T5" s="845"/>
    </row>
    <row r="6" spans="2:20" ht="30" customHeight="1" x14ac:dyDescent="0.2">
      <c r="B6" s="846"/>
      <c r="C6" s="847" t="s">
        <v>173</v>
      </c>
      <c r="D6" s="847"/>
      <c r="E6" s="847" t="s">
        <v>175</v>
      </c>
      <c r="F6" s="847"/>
      <c r="G6" s="846" t="s">
        <v>6</v>
      </c>
      <c r="H6" s="846"/>
      <c r="I6" s="844" t="s">
        <v>173</v>
      </c>
      <c r="J6" s="844"/>
      <c r="K6" s="844" t="s">
        <v>175</v>
      </c>
      <c r="L6" s="844"/>
      <c r="M6" s="846" t="s">
        <v>6</v>
      </c>
      <c r="N6" s="846"/>
      <c r="O6" s="847" t="s">
        <v>173</v>
      </c>
      <c r="P6" s="847"/>
      <c r="Q6" s="847" t="s">
        <v>175</v>
      </c>
      <c r="R6" s="847"/>
      <c r="S6" s="846" t="s">
        <v>6</v>
      </c>
      <c r="T6" s="846"/>
    </row>
    <row r="7" spans="2:20" ht="25.15" customHeight="1" x14ac:dyDescent="0.2">
      <c r="B7" s="376">
        <v>1992</v>
      </c>
      <c r="C7" s="70">
        <v>115</v>
      </c>
      <c r="D7" s="70"/>
      <c r="E7" s="70">
        <v>104</v>
      </c>
      <c r="F7" s="70"/>
      <c r="G7" s="342">
        <f>SUM(C7:E7)</f>
        <v>219</v>
      </c>
      <c r="H7" s="344"/>
      <c r="I7" s="70">
        <v>77566</v>
      </c>
      <c r="J7" s="70"/>
      <c r="K7" s="70">
        <v>37090</v>
      </c>
      <c r="L7" s="341"/>
      <c r="M7" s="342">
        <f t="shared" ref="M7:M40" si="0">SUM(I7:K7)</f>
        <v>114656</v>
      </c>
      <c r="N7" s="342"/>
      <c r="O7" s="70">
        <v>1282113</v>
      </c>
      <c r="P7" s="70"/>
      <c r="Q7" s="70">
        <v>1037266</v>
      </c>
      <c r="R7" s="341"/>
      <c r="S7" s="342">
        <f t="shared" ref="S7:S40" si="1">SUM(O7:Q7)</f>
        <v>2319379</v>
      </c>
      <c r="T7" s="344"/>
    </row>
    <row r="8" spans="2:20" ht="25.15" customHeight="1" x14ac:dyDescent="0.2">
      <c r="B8" s="376">
        <v>1993</v>
      </c>
      <c r="C8" s="70">
        <v>87</v>
      </c>
      <c r="D8" s="70"/>
      <c r="E8" s="70">
        <v>64</v>
      </c>
      <c r="F8" s="70"/>
      <c r="G8" s="342">
        <f t="shared" ref="G8:G40" si="2">SUM(C8:E8)</f>
        <v>151</v>
      </c>
      <c r="H8" s="344"/>
      <c r="I8" s="70">
        <v>25618</v>
      </c>
      <c r="J8" s="70"/>
      <c r="K8" s="70">
        <v>15856</v>
      </c>
      <c r="L8" s="341"/>
      <c r="M8" s="342">
        <f t="shared" si="0"/>
        <v>41474</v>
      </c>
      <c r="N8" s="342"/>
      <c r="O8" s="70">
        <v>783072</v>
      </c>
      <c r="P8" s="70"/>
      <c r="Q8" s="70">
        <v>1384692</v>
      </c>
      <c r="R8" s="341"/>
      <c r="S8" s="342">
        <f t="shared" si="1"/>
        <v>2167764</v>
      </c>
      <c r="T8" s="344"/>
    </row>
    <row r="9" spans="2:20" ht="25.15" customHeight="1" x14ac:dyDescent="0.2">
      <c r="B9" s="376">
        <v>1994</v>
      </c>
      <c r="C9" s="70">
        <v>45</v>
      </c>
      <c r="D9" s="70"/>
      <c r="E9" s="70">
        <v>123</v>
      </c>
      <c r="F9" s="70"/>
      <c r="G9" s="342">
        <f t="shared" si="2"/>
        <v>168</v>
      </c>
      <c r="H9" s="344"/>
      <c r="I9" s="70">
        <v>8665</v>
      </c>
      <c r="J9" s="70"/>
      <c r="K9" s="70">
        <v>54275</v>
      </c>
      <c r="L9" s="341"/>
      <c r="M9" s="342">
        <f t="shared" si="0"/>
        <v>62940</v>
      </c>
      <c r="N9" s="342"/>
      <c r="O9" s="70">
        <v>604484</v>
      </c>
      <c r="P9" s="70"/>
      <c r="Q9" s="70">
        <v>1332163</v>
      </c>
      <c r="R9" s="341"/>
      <c r="S9" s="342">
        <f t="shared" si="1"/>
        <v>1936647</v>
      </c>
      <c r="T9" s="344"/>
    </row>
    <row r="10" spans="2:20" ht="25.15" customHeight="1" x14ac:dyDescent="0.2">
      <c r="B10" s="376">
        <v>1995</v>
      </c>
      <c r="C10" s="70">
        <v>5</v>
      </c>
      <c r="D10" s="70"/>
      <c r="E10" s="70">
        <v>97</v>
      </c>
      <c r="F10" s="70"/>
      <c r="G10" s="342">
        <f t="shared" si="2"/>
        <v>102</v>
      </c>
      <c r="H10" s="344"/>
      <c r="I10" s="70">
        <v>745</v>
      </c>
      <c r="J10" s="70"/>
      <c r="K10" s="70">
        <v>27437</v>
      </c>
      <c r="L10" s="341"/>
      <c r="M10" s="342">
        <f t="shared" si="0"/>
        <v>28182</v>
      </c>
      <c r="N10" s="342"/>
      <c r="O10" s="70">
        <v>63328</v>
      </c>
      <c r="P10" s="70"/>
      <c r="Q10" s="70">
        <v>985425</v>
      </c>
      <c r="R10" s="341"/>
      <c r="S10" s="342">
        <f t="shared" si="1"/>
        <v>1048753</v>
      </c>
      <c r="T10" s="344"/>
    </row>
    <row r="11" spans="2:20" ht="25.15" customHeight="1" x14ac:dyDescent="0.2">
      <c r="B11" s="376">
        <v>1996</v>
      </c>
      <c r="C11" s="70">
        <v>7</v>
      </c>
      <c r="D11" s="70"/>
      <c r="E11" s="70">
        <v>70</v>
      </c>
      <c r="F11" s="70"/>
      <c r="G11" s="342">
        <f t="shared" si="2"/>
        <v>77</v>
      </c>
      <c r="H11" s="344"/>
      <c r="I11" s="70">
        <v>2031</v>
      </c>
      <c r="J11" s="70"/>
      <c r="K11" s="70">
        <v>0</v>
      </c>
      <c r="L11" s="341"/>
      <c r="M11" s="342">
        <f t="shared" si="0"/>
        <v>2031</v>
      </c>
      <c r="N11" s="342"/>
      <c r="O11" s="70">
        <v>457712</v>
      </c>
      <c r="P11" s="70"/>
      <c r="Q11" s="70">
        <v>942174</v>
      </c>
      <c r="R11" s="341"/>
      <c r="S11" s="342">
        <f t="shared" si="1"/>
        <v>1399886</v>
      </c>
      <c r="T11" s="344"/>
    </row>
    <row r="12" spans="2:20" ht="25.15" customHeight="1" x14ac:dyDescent="0.2">
      <c r="B12" s="376">
        <v>1997</v>
      </c>
      <c r="C12" s="70">
        <v>1</v>
      </c>
      <c r="D12" s="70"/>
      <c r="E12" s="70">
        <v>65</v>
      </c>
      <c r="F12" s="70"/>
      <c r="G12" s="342">
        <f t="shared" si="2"/>
        <v>66</v>
      </c>
      <c r="H12" s="344"/>
      <c r="I12" s="70">
        <v>120</v>
      </c>
      <c r="J12" s="70"/>
      <c r="K12" s="70">
        <v>19076</v>
      </c>
      <c r="L12" s="341"/>
      <c r="M12" s="342">
        <f t="shared" si="0"/>
        <v>19196</v>
      </c>
      <c r="N12" s="342"/>
      <c r="O12" s="70">
        <v>2880</v>
      </c>
      <c r="P12" s="70"/>
      <c r="Q12" s="70">
        <v>316534</v>
      </c>
      <c r="R12" s="341"/>
      <c r="S12" s="342">
        <f t="shared" si="1"/>
        <v>319414</v>
      </c>
      <c r="T12" s="344"/>
    </row>
    <row r="13" spans="2:20" ht="25.15" customHeight="1" x14ac:dyDescent="0.2">
      <c r="B13" s="376">
        <v>1998</v>
      </c>
      <c r="C13" s="70">
        <v>3</v>
      </c>
      <c r="D13" s="70"/>
      <c r="E13" s="70">
        <v>55</v>
      </c>
      <c r="F13" s="70"/>
      <c r="G13" s="342">
        <f t="shared" si="2"/>
        <v>58</v>
      </c>
      <c r="H13" s="344"/>
      <c r="I13" s="70">
        <v>347</v>
      </c>
      <c r="J13" s="70"/>
      <c r="K13" s="70">
        <v>16986</v>
      </c>
      <c r="L13" s="341"/>
      <c r="M13" s="342">
        <f t="shared" si="0"/>
        <v>17333</v>
      </c>
      <c r="N13" s="342"/>
      <c r="O13" s="70">
        <v>26428</v>
      </c>
      <c r="P13" s="70"/>
      <c r="Q13" s="70">
        <v>296740</v>
      </c>
      <c r="R13" s="341"/>
      <c r="S13" s="342">
        <f t="shared" si="1"/>
        <v>323168</v>
      </c>
      <c r="T13" s="344"/>
    </row>
    <row r="14" spans="2:20" ht="25.15" customHeight="1" x14ac:dyDescent="0.2">
      <c r="B14" s="376">
        <v>1999</v>
      </c>
      <c r="C14" s="70">
        <v>2</v>
      </c>
      <c r="D14" s="70"/>
      <c r="E14" s="70">
        <v>69</v>
      </c>
      <c r="F14" s="70"/>
      <c r="G14" s="342">
        <f t="shared" si="2"/>
        <v>71</v>
      </c>
      <c r="H14" s="344"/>
      <c r="I14" s="70">
        <v>837</v>
      </c>
      <c r="J14" s="70"/>
      <c r="K14" s="70">
        <v>51243</v>
      </c>
      <c r="L14" s="341"/>
      <c r="M14" s="342">
        <f t="shared" si="0"/>
        <v>52080</v>
      </c>
      <c r="N14" s="342"/>
      <c r="O14" s="70">
        <v>13768</v>
      </c>
      <c r="P14" s="70"/>
      <c r="Q14" s="70">
        <v>710492</v>
      </c>
      <c r="R14" s="341"/>
      <c r="S14" s="342">
        <f t="shared" si="1"/>
        <v>724260</v>
      </c>
      <c r="T14" s="344"/>
    </row>
    <row r="15" spans="2:20" ht="25.15" customHeight="1" x14ac:dyDescent="0.2">
      <c r="B15" s="376">
        <v>2000</v>
      </c>
      <c r="C15" s="70">
        <v>1</v>
      </c>
      <c r="D15" s="70"/>
      <c r="E15" s="70">
        <v>36</v>
      </c>
      <c r="F15" s="70"/>
      <c r="G15" s="342">
        <f t="shared" si="2"/>
        <v>37</v>
      </c>
      <c r="H15" s="344"/>
      <c r="I15" s="70">
        <v>8</v>
      </c>
      <c r="J15" s="70"/>
      <c r="K15" s="70">
        <v>5272</v>
      </c>
      <c r="L15" s="341"/>
      <c r="M15" s="342">
        <f t="shared" si="0"/>
        <v>5280</v>
      </c>
      <c r="N15" s="342"/>
      <c r="O15" s="70">
        <v>1600</v>
      </c>
      <c r="P15" s="70"/>
      <c r="Q15" s="70">
        <v>180091</v>
      </c>
      <c r="R15" s="341"/>
      <c r="S15" s="342">
        <f t="shared" si="1"/>
        <v>181691</v>
      </c>
      <c r="T15" s="344"/>
    </row>
    <row r="16" spans="2:20" ht="25.15" customHeight="1" x14ac:dyDescent="0.2">
      <c r="B16" s="376">
        <v>2001</v>
      </c>
      <c r="C16" s="248">
        <v>3</v>
      </c>
      <c r="D16" s="248"/>
      <c r="E16" s="70">
        <v>37</v>
      </c>
      <c r="F16" s="70"/>
      <c r="G16" s="342">
        <f t="shared" si="2"/>
        <v>40</v>
      </c>
      <c r="H16" s="344"/>
      <c r="I16" s="248">
        <v>537</v>
      </c>
      <c r="J16" s="248"/>
      <c r="K16" s="70">
        <v>10513</v>
      </c>
      <c r="L16" s="341"/>
      <c r="M16" s="342">
        <f t="shared" si="0"/>
        <v>11050</v>
      </c>
      <c r="N16" s="342"/>
      <c r="O16" s="248">
        <v>55824</v>
      </c>
      <c r="P16" s="248"/>
      <c r="Q16" s="70">
        <v>433106</v>
      </c>
      <c r="R16" s="341"/>
      <c r="S16" s="342">
        <f t="shared" si="1"/>
        <v>488930</v>
      </c>
      <c r="T16" s="344"/>
    </row>
    <row r="17" spans="2:20" ht="25.15" customHeight="1" x14ac:dyDescent="0.2">
      <c r="B17" s="376">
        <v>2002</v>
      </c>
      <c r="C17" s="248">
        <v>4</v>
      </c>
      <c r="D17" s="248"/>
      <c r="E17" s="70">
        <v>60</v>
      </c>
      <c r="F17" s="70"/>
      <c r="G17" s="342">
        <f t="shared" si="2"/>
        <v>64</v>
      </c>
      <c r="H17" s="344"/>
      <c r="I17" s="248">
        <v>3694</v>
      </c>
      <c r="J17" s="248"/>
      <c r="K17" s="70">
        <v>19231</v>
      </c>
      <c r="L17" s="341"/>
      <c r="M17" s="342">
        <f t="shared" si="0"/>
        <v>22925</v>
      </c>
      <c r="N17" s="342"/>
      <c r="O17" s="248">
        <v>195112</v>
      </c>
      <c r="P17" s="248"/>
      <c r="Q17" s="70">
        <v>717536</v>
      </c>
      <c r="R17" s="341"/>
      <c r="S17" s="342">
        <f t="shared" si="1"/>
        <v>912648</v>
      </c>
      <c r="T17" s="344"/>
    </row>
    <row r="18" spans="2:20" ht="25.15" customHeight="1" x14ac:dyDescent="0.2">
      <c r="B18" s="376">
        <v>2003</v>
      </c>
      <c r="C18" s="70">
        <v>4</v>
      </c>
      <c r="D18" s="70"/>
      <c r="E18" s="70">
        <v>64</v>
      </c>
      <c r="F18" s="70"/>
      <c r="G18" s="342">
        <f t="shared" si="2"/>
        <v>68</v>
      </c>
      <c r="H18" s="344"/>
      <c r="I18" s="248">
        <v>19621</v>
      </c>
      <c r="J18" s="248"/>
      <c r="K18" s="70">
        <v>17702</v>
      </c>
      <c r="L18" s="341"/>
      <c r="M18" s="342">
        <f t="shared" si="0"/>
        <v>37323</v>
      </c>
      <c r="N18" s="342"/>
      <c r="O18" s="248">
        <v>605640</v>
      </c>
      <c r="P18" s="248"/>
      <c r="Q18" s="70">
        <v>275722</v>
      </c>
      <c r="R18" s="341"/>
      <c r="S18" s="342">
        <f t="shared" si="1"/>
        <v>881362</v>
      </c>
      <c r="T18" s="344"/>
    </row>
    <row r="19" spans="2:20" ht="25.15" customHeight="1" x14ac:dyDescent="0.2">
      <c r="B19" s="376">
        <v>2004</v>
      </c>
      <c r="C19" s="70">
        <v>3</v>
      </c>
      <c r="D19" s="70"/>
      <c r="E19" s="70">
        <v>104</v>
      </c>
      <c r="F19" s="70"/>
      <c r="G19" s="342">
        <f t="shared" si="2"/>
        <v>107</v>
      </c>
      <c r="H19" s="344"/>
      <c r="I19" s="248">
        <v>1240</v>
      </c>
      <c r="J19" s="248"/>
      <c r="K19" s="70">
        <v>28033</v>
      </c>
      <c r="L19" s="341"/>
      <c r="M19" s="342">
        <f t="shared" si="0"/>
        <v>29273</v>
      </c>
      <c r="N19" s="342"/>
      <c r="O19" s="248">
        <v>90632</v>
      </c>
      <c r="P19" s="248"/>
      <c r="Q19" s="70">
        <v>491696</v>
      </c>
      <c r="R19" s="341"/>
      <c r="S19" s="342">
        <f t="shared" si="1"/>
        <v>582328</v>
      </c>
      <c r="T19" s="344"/>
    </row>
    <row r="20" spans="2:20" ht="25.15" customHeight="1" x14ac:dyDescent="0.2">
      <c r="B20" s="376">
        <v>2005</v>
      </c>
      <c r="C20" s="70">
        <v>2</v>
      </c>
      <c r="D20" s="70"/>
      <c r="E20" s="70">
        <v>63</v>
      </c>
      <c r="F20" s="70"/>
      <c r="G20" s="342">
        <f t="shared" si="2"/>
        <v>65</v>
      </c>
      <c r="H20" s="344"/>
      <c r="I20" s="248">
        <v>531</v>
      </c>
      <c r="J20" s="248"/>
      <c r="K20" s="70">
        <v>18491</v>
      </c>
      <c r="L20" s="341"/>
      <c r="M20" s="342">
        <f t="shared" si="0"/>
        <v>19022</v>
      </c>
      <c r="N20" s="342"/>
      <c r="O20" s="248">
        <v>28496</v>
      </c>
      <c r="P20" s="248"/>
      <c r="Q20" s="70">
        <v>450242</v>
      </c>
      <c r="R20" s="341"/>
      <c r="S20" s="342">
        <f t="shared" si="1"/>
        <v>478738</v>
      </c>
      <c r="T20" s="344"/>
    </row>
    <row r="21" spans="2:20" ht="25.15" customHeight="1" x14ac:dyDescent="0.2">
      <c r="B21" s="376">
        <v>2006</v>
      </c>
      <c r="C21" s="70">
        <v>2</v>
      </c>
      <c r="D21" s="70"/>
      <c r="E21" s="70">
        <v>65</v>
      </c>
      <c r="F21" s="70"/>
      <c r="G21" s="342">
        <f t="shared" si="2"/>
        <v>67</v>
      </c>
      <c r="H21" s="344"/>
      <c r="I21" s="248">
        <v>718</v>
      </c>
      <c r="J21" s="248"/>
      <c r="K21" s="70">
        <v>18847</v>
      </c>
      <c r="L21" s="341"/>
      <c r="M21" s="342">
        <f t="shared" si="0"/>
        <v>19565</v>
      </c>
      <c r="N21" s="342"/>
      <c r="O21" s="248">
        <v>48392</v>
      </c>
      <c r="P21" s="248"/>
      <c r="Q21" s="70">
        <v>398192</v>
      </c>
      <c r="R21" s="341"/>
      <c r="S21" s="342">
        <f t="shared" si="1"/>
        <v>446584</v>
      </c>
      <c r="T21" s="344"/>
    </row>
    <row r="22" spans="2:20" ht="25.15" customHeight="1" x14ac:dyDescent="0.2">
      <c r="B22" s="376">
        <v>2007</v>
      </c>
      <c r="C22" s="70">
        <v>2</v>
      </c>
      <c r="D22" s="70"/>
      <c r="E22" s="70">
        <v>71</v>
      </c>
      <c r="F22" s="70"/>
      <c r="G22" s="342">
        <f t="shared" si="2"/>
        <v>73</v>
      </c>
      <c r="H22" s="344"/>
      <c r="I22" s="248">
        <v>1252</v>
      </c>
      <c r="J22" s="248"/>
      <c r="K22" s="70">
        <v>46844</v>
      </c>
      <c r="L22" s="341"/>
      <c r="M22" s="342">
        <f t="shared" si="0"/>
        <v>48096</v>
      </c>
      <c r="N22" s="342"/>
      <c r="O22" s="248">
        <v>68576</v>
      </c>
      <c r="P22" s="248"/>
      <c r="Q22" s="70">
        <v>2147944</v>
      </c>
      <c r="R22" s="341"/>
      <c r="S22" s="342">
        <f t="shared" si="1"/>
        <v>2216520</v>
      </c>
      <c r="T22" s="344"/>
    </row>
    <row r="23" spans="2:20" ht="25.15" customHeight="1" x14ac:dyDescent="0.2">
      <c r="B23" s="376">
        <v>2008</v>
      </c>
      <c r="C23" s="70">
        <v>4</v>
      </c>
      <c r="D23" s="70"/>
      <c r="E23" s="70">
        <v>59</v>
      </c>
      <c r="F23" s="70"/>
      <c r="G23" s="342">
        <f t="shared" si="2"/>
        <v>63</v>
      </c>
      <c r="H23" s="344"/>
      <c r="I23" s="248">
        <v>1224</v>
      </c>
      <c r="J23" s="248"/>
      <c r="K23" s="70">
        <v>32787</v>
      </c>
      <c r="L23" s="341"/>
      <c r="M23" s="342">
        <f t="shared" si="0"/>
        <v>34011</v>
      </c>
      <c r="N23" s="342"/>
      <c r="O23" s="248">
        <v>74960</v>
      </c>
      <c r="P23" s="248"/>
      <c r="Q23" s="70">
        <v>1446000</v>
      </c>
      <c r="R23" s="341"/>
      <c r="S23" s="342">
        <f t="shared" si="1"/>
        <v>1520960</v>
      </c>
      <c r="T23" s="344"/>
    </row>
    <row r="24" spans="2:20" ht="25.15" customHeight="1" x14ac:dyDescent="0.2">
      <c r="B24" s="376">
        <v>2009</v>
      </c>
      <c r="C24" s="70">
        <v>8</v>
      </c>
      <c r="D24" s="70"/>
      <c r="E24" s="70">
        <v>91</v>
      </c>
      <c r="F24" s="70"/>
      <c r="G24" s="342">
        <f t="shared" si="2"/>
        <v>99</v>
      </c>
      <c r="H24" s="344"/>
      <c r="I24" s="248">
        <v>3511</v>
      </c>
      <c r="J24" s="248"/>
      <c r="K24" s="70">
        <v>32603</v>
      </c>
      <c r="L24" s="341"/>
      <c r="M24" s="342">
        <f t="shared" si="0"/>
        <v>36114</v>
      </c>
      <c r="N24" s="342"/>
      <c r="O24" s="248">
        <v>386096</v>
      </c>
      <c r="P24" s="248"/>
      <c r="Q24" s="70">
        <v>1066370</v>
      </c>
      <c r="R24" s="341"/>
      <c r="S24" s="342">
        <f t="shared" si="1"/>
        <v>1452466</v>
      </c>
      <c r="T24" s="344"/>
    </row>
    <row r="25" spans="2:20" ht="25.15" customHeight="1" x14ac:dyDescent="0.2">
      <c r="B25" s="376">
        <v>2010</v>
      </c>
      <c r="C25" s="70">
        <v>13</v>
      </c>
      <c r="D25" s="70"/>
      <c r="E25" s="70">
        <v>70</v>
      </c>
      <c r="F25" s="70"/>
      <c r="G25" s="342">
        <f t="shared" si="2"/>
        <v>83</v>
      </c>
      <c r="H25" s="344"/>
      <c r="I25" s="248">
        <v>4169</v>
      </c>
      <c r="J25" s="248"/>
      <c r="K25" s="70">
        <v>26437</v>
      </c>
      <c r="L25" s="341"/>
      <c r="M25" s="342">
        <f t="shared" si="0"/>
        <v>30606</v>
      </c>
      <c r="N25" s="342"/>
      <c r="O25" s="248">
        <v>236064</v>
      </c>
      <c r="P25" s="248"/>
      <c r="Q25" s="70">
        <v>1043316</v>
      </c>
      <c r="R25" s="341"/>
      <c r="S25" s="342">
        <f t="shared" si="1"/>
        <v>1279380</v>
      </c>
      <c r="T25" s="344"/>
    </row>
    <row r="26" spans="2:20" ht="25.15" customHeight="1" x14ac:dyDescent="0.2">
      <c r="B26" s="376">
        <v>2011</v>
      </c>
      <c r="C26" s="70">
        <v>19</v>
      </c>
      <c r="D26" s="70"/>
      <c r="E26" s="70">
        <v>65</v>
      </c>
      <c r="F26" s="70"/>
      <c r="G26" s="342">
        <f t="shared" si="2"/>
        <v>84</v>
      </c>
      <c r="H26" s="344"/>
      <c r="I26" s="248">
        <v>5838</v>
      </c>
      <c r="J26" s="248"/>
      <c r="K26" s="70">
        <v>20932</v>
      </c>
      <c r="L26" s="341"/>
      <c r="M26" s="342">
        <f t="shared" si="0"/>
        <v>26770</v>
      </c>
      <c r="N26" s="342"/>
      <c r="O26" s="248">
        <v>777188</v>
      </c>
      <c r="P26" s="248"/>
      <c r="Q26" s="70">
        <v>1022228</v>
      </c>
      <c r="R26" s="341"/>
      <c r="S26" s="342">
        <f t="shared" si="1"/>
        <v>1799416</v>
      </c>
      <c r="T26" s="344"/>
    </row>
    <row r="27" spans="2:20" ht="25.15" customHeight="1" x14ac:dyDescent="0.2">
      <c r="B27" s="376">
        <v>2012</v>
      </c>
      <c r="C27" s="70">
        <v>15</v>
      </c>
      <c r="D27" s="70"/>
      <c r="E27" s="70">
        <v>74</v>
      </c>
      <c r="F27" s="70"/>
      <c r="G27" s="342">
        <f t="shared" si="2"/>
        <v>89</v>
      </c>
      <c r="H27" s="344"/>
      <c r="I27" s="248">
        <v>4002</v>
      </c>
      <c r="J27" s="248"/>
      <c r="K27" s="70">
        <v>21843</v>
      </c>
      <c r="L27" s="341"/>
      <c r="M27" s="342">
        <f t="shared" si="0"/>
        <v>25845</v>
      </c>
      <c r="N27" s="342"/>
      <c r="O27" s="248">
        <v>692960</v>
      </c>
      <c r="P27" s="248"/>
      <c r="Q27" s="70">
        <v>1185736</v>
      </c>
      <c r="R27" s="341"/>
      <c r="S27" s="342">
        <f t="shared" si="1"/>
        <v>1878696</v>
      </c>
      <c r="T27" s="344"/>
    </row>
    <row r="28" spans="2:20" ht="25.15" customHeight="1" x14ac:dyDescent="0.2">
      <c r="B28" s="376">
        <v>2013</v>
      </c>
      <c r="C28" s="70">
        <v>25</v>
      </c>
      <c r="D28" s="70"/>
      <c r="E28" s="70">
        <v>69</v>
      </c>
      <c r="F28" s="70"/>
      <c r="G28" s="342">
        <f t="shared" si="2"/>
        <v>94</v>
      </c>
      <c r="H28" s="344"/>
      <c r="I28" s="248">
        <v>5878</v>
      </c>
      <c r="J28" s="248"/>
      <c r="K28" s="70">
        <v>20858</v>
      </c>
      <c r="L28" s="341"/>
      <c r="M28" s="342">
        <f t="shared" si="0"/>
        <v>26736</v>
      </c>
      <c r="N28" s="342"/>
      <c r="O28" s="248">
        <v>438930</v>
      </c>
      <c r="P28" s="248"/>
      <c r="Q28" s="70">
        <v>1134272</v>
      </c>
      <c r="R28" s="341"/>
      <c r="S28" s="342">
        <f t="shared" si="1"/>
        <v>1573202</v>
      </c>
      <c r="T28" s="344"/>
    </row>
    <row r="29" spans="2:20" ht="25.15" customHeight="1" x14ac:dyDescent="0.2">
      <c r="B29" s="376">
        <v>2014</v>
      </c>
      <c r="C29" s="70">
        <v>15</v>
      </c>
      <c r="D29" s="70"/>
      <c r="E29" s="70">
        <v>80</v>
      </c>
      <c r="F29" s="70"/>
      <c r="G29" s="342">
        <f t="shared" si="2"/>
        <v>95</v>
      </c>
      <c r="H29" s="344"/>
      <c r="I29" s="248">
        <v>3579</v>
      </c>
      <c r="J29" s="248"/>
      <c r="K29" s="70">
        <v>37102</v>
      </c>
      <c r="L29" s="341"/>
      <c r="M29" s="342">
        <f t="shared" si="0"/>
        <v>40681</v>
      </c>
      <c r="N29" s="342"/>
      <c r="O29" s="248">
        <v>407080</v>
      </c>
      <c r="P29" s="248"/>
      <c r="Q29" s="70">
        <v>2745938</v>
      </c>
      <c r="R29" s="341"/>
      <c r="S29" s="342">
        <f t="shared" si="1"/>
        <v>3153018</v>
      </c>
      <c r="T29" s="344"/>
    </row>
    <row r="30" spans="2:20" ht="25.15" customHeight="1" x14ac:dyDescent="0.2">
      <c r="B30" s="376">
        <v>2015</v>
      </c>
      <c r="C30" s="70">
        <v>6</v>
      </c>
      <c r="D30" s="70"/>
      <c r="E30" s="70">
        <v>41</v>
      </c>
      <c r="F30" s="70"/>
      <c r="G30" s="342">
        <f t="shared" si="2"/>
        <v>47</v>
      </c>
      <c r="H30" s="344"/>
      <c r="I30" s="248">
        <v>1442</v>
      </c>
      <c r="J30" s="248"/>
      <c r="K30" s="70">
        <v>30624</v>
      </c>
      <c r="L30" s="341"/>
      <c r="M30" s="342">
        <f t="shared" si="0"/>
        <v>32066</v>
      </c>
      <c r="N30" s="342"/>
      <c r="O30" s="248">
        <v>265192</v>
      </c>
      <c r="P30" s="248"/>
      <c r="Q30" s="70">
        <v>1660440</v>
      </c>
      <c r="R30" s="341"/>
      <c r="S30" s="342">
        <f t="shared" si="1"/>
        <v>1925632</v>
      </c>
      <c r="T30" s="344"/>
    </row>
    <row r="31" spans="2:20" ht="25.15" customHeight="1" x14ac:dyDescent="0.2">
      <c r="B31" s="376">
        <v>2016</v>
      </c>
      <c r="C31" s="70">
        <v>3</v>
      </c>
      <c r="D31" s="70"/>
      <c r="E31" s="70">
        <v>38</v>
      </c>
      <c r="F31" s="70"/>
      <c r="G31" s="342">
        <f t="shared" si="2"/>
        <v>41</v>
      </c>
      <c r="H31" s="344"/>
      <c r="I31" s="248">
        <v>1345</v>
      </c>
      <c r="J31" s="248"/>
      <c r="K31" s="70">
        <v>19118</v>
      </c>
      <c r="L31" s="341"/>
      <c r="M31" s="342">
        <f t="shared" si="0"/>
        <v>20463</v>
      </c>
      <c r="N31" s="342"/>
      <c r="O31" s="248">
        <v>244680</v>
      </c>
      <c r="P31" s="248"/>
      <c r="Q31" s="70">
        <v>2839376</v>
      </c>
      <c r="R31" s="341"/>
      <c r="S31" s="342">
        <f t="shared" si="1"/>
        <v>3084056</v>
      </c>
      <c r="T31" s="344"/>
    </row>
    <row r="32" spans="2:20" ht="25.15" customHeight="1" x14ac:dyDescent="0.2">
      <c r="B32" s="376">
        <v>2017</v>
      </c>
      <c r="C32" s="70">
        <v>6</v>
      </c>
      <c r="D32" s="70"/>
      <c r="E32" s="70">
        <v>39</v>
      </c>
      <c r="F32" s="70"/>
      <c r="G32" s="342">
        <f>SUM(C32:E32)</f>
        <v>45</v>
      </c>
      <c r="H32" s="344"/>
      <c r="I32" s="248">
        <v>1856</v>
      </c>
      <c r="J32" s="248"/>
      <c r="K32" s="70">
        <v>54754</v>
      </c>
      <c r="L32" s="341"/>
      <c r="M32" s="342">
        <f>SUM(I32:K32)</f>
        <v>56610</v>
      </c>
      <c r="N32" s="342"/>
      <c r="O32" s="248">
        <v>214392</v>
      </c>
      <c r="P32" s="248"/>
      <c r="Q32" s="70">
        <v>2792102</v>
      </c>
      <c r="R32" s="341"/>
      <c r="S32" s="342">
        <f>SUM(O32:Q32)</f>
        <v>3006494</v>
      </c>
      <c r="T32" s="344"/>
    </row>
    <row r="33" spans="2:30" ht="25.15" customHeight="1" x14ac:dyDescent="0.2">
      <c r="B33" s="376">
        <v>2018</v>
      </c>
      <c r="C33" s="70">
        <v>8</v>
      </c>
      <c r="D33" s="70"/>
      <c r="E33" s="70">
        <v>46</v>
      </c>
      <c r="F33" s="70"/>
      <c r="G33" s="342">
        <f t="shared" si="2"/>
        <v>54</v>
      </c>
      <c r="H33" s="344"/>
      <c r="I33" s="248">
        <v>2786</v>
      </c>
      <c r="J33" s="248"/>
      <c r="K33" s="70">
        <v>18710</v>
      </c>
      <c r="L33" s="341"/>
      <c r="M33" s="342">
        <f t="shared" si="0"/>
        <v>21496</v>
      </c>
      <c r="N33" s="342"/>
      <c r="O33" s="248">
        <v>268626</v>
      </c>
      <c r="P33" s="248"/>
      <c r="Q33" s="70">
        <v>470238</v>
      </c>
      <c r="R33" s="341"/>
      <c r="S33" s="342">
        <f t="shared" si="1"/>
        <v>738864</v>
      </c>
      <c r="T33" s="344"/>
    </row>
    <row r="34" spans="2:30" ht="24.6" customHeight="1" x14ac:dyDescent="0.2">
      <c r="B34" s="376">
        <v>2019</v>
      </c>
      <c r="C34" s="70">
        <v>2</v>
      </c>
      <c r="D34" s="70"/>
      <c r="E34" s="70">
        <v>65</v>
      </c>
      <c r="F34" s="70"/>
      <c r="G34" s="342">
        <f t="shared" ref="G34:G39" si="3">SUM(C34:E34)</f>
        <v>67</v>
      </c>
      <c r="H34" s="344"/>
      <c r="I34" s="248">
        <v>944</v>
      </c>
      <c r="J34" s="248"/>
      <c r="K34" s="70">
        <v>109210</v>
      </c>
      <c r="L34" s="341"/>
      <c r="M34" s="342">
        <f t="shared" ref="M34:M39" si="4">SUM(I34:K34)</f>
        <v>110154</v>
      </c>
      <c r="N34" s="342"/>
      <c r="O34" s="248">
        <v>133312</v>
      </c>
      <c r="P34" s="248"/>
      <c r="Q34" s="70">
        <v>1952544</v>
      </c>
      <c r="R34" s="341"/>
      <c r="S34" s="342">
        <f t="shared" ref="S34:S39" si="5">SUM(O34:Q34)</f>
        <v>2085856</v>
      </c>
      <c r="T34" s="344"/>
    </row>
    <row r="35" spans="2:30" ht="24.6" customHeight="1" x14ac:dyDescent="0.2">
      <c r="B35" s="376">
        <v>2020</v>
      </c>
      <c r="C35" s="70">
        <v>0</v>
      </c>
      <c r="D35" s="70"/>
      <c r="E35" s="70">
        <v>23</v>
      </c>
      <c r="F35" s="70"/>
      <c r="G35" s="342">
        <f t="shared" si="3"/>
        <v>23</v>
      </c>
      <c r="H35" s="344"/>
      <c r="I35" s="248">
        <v>0</v>
      </c>
      <c r="J35" s="248"/>
      <c r="K35" s="70">
        <v>127868</v>
      </c>
      <c r="L35" s="341"/>
      <c r="M35" s="342">
        <f t="shared" si="4"/>
        <v>127868</v>
      </c>
      <c r="N35" s="342"/>
      <c r="O35" s="248">
        <v>0</v>
      </c>
      <c r="P35" s="248"/>
      <c r="Q35" s="70">
        <v>3653184</v>
      </c>
      <c r="R35" s="341"/>
      <c r="S35" s="342">
        <f t="shared" si="5"/>
        <v>3653184</v>
      </c>
      <c r="T35" s="344"/>
    </row>
    <row r="36" spans="2:30" ht="24.6" customHeight="1" x14ac:dyDescent="0.2">
      <c r="B36" s="376">
        <v>2021</v>
      </c>
      <c r="C36" s="70">
        <v>16</v>
      </c>
      <c r="D36" s="70"/>
      <c r="E36" s="70">
        <v>22</v>
      </c>
      <c r="F36" s="70"/>
      <c r="G36" s="342">
        <f t="shared" si="3"/>
        <v>38</v>
      </c>
      <c r="H36" s="344"/>
      <c r="I36" s="248">
        <v>5137</v>
      </c>
      <c r="J36" s="248"/>
      <c r="K36" s="70">
        <v>204005</v>
      </c>
      <c r="L36" s="341"/>
      <c r="M36" s="342">
        <f t="shared" si="4"/>
        <v>209142</v>
      </c>
      <c r="N36" s="342"/>
      <c r="O36" s="248">
        <v>528464</v>
      </c>
      <c r="P36" s="248"/>
      <c r="Q36" s="70">
        <v>2498776</v>
      </c>
      <c r="R36" s="341"/>
      <c r="S36" s="342">
        <f t="shared" si="5"/>
        <v>3027240</v>
      </c>
      <c r="T36" s="344"/>
    </row>
    <row r="37" spans="2:30" ht="24.6" customHeight="1" x14ac:dyDescent="0.2">
      <c r="B37" s="376">
        <v>2022</v>
      </c>
      <c r="C37" s="70">
        <v>10</v>
      </c>
      <c r="D37" s="70"/>
      <c r="E37" s="70">
        <v>31</v>
      </c>
      <c r="F37" s="70"/>
      <c r="G37" s="342">
        <f t="shared" si="3"/>
        <v>41</v>
      </c>
      <c r="H37" s="344"/>
      <c r="I37" s="248">
        <v>1484</v>
      </c>
      <c r="J37" s="248"/>
      <c r="K37" s="70">
        <v>27661</v>
      </c>
      <c r="L37" s="341"/>
      <c r="M37" s="342">
        <f t="shared" si="4"/>
        <v>29145</v>
      </c>
      <c r="N37" s="342"/>
      <c r="O37" s="248">
        <v>328400</v>
      </c>
      <c r="P37" s="248"/>
      <c r="Q37" s="70">
        <v>1794532</v>
      </c>
      <c r="R37" s="341"/>
      <c r="S37" s="342">
        <f t="shared" si="5"/>
        <v>2122932</v>
      </c>
      <c r="T37" s="344"/>
    </row>
    <row r="38" spans="2:30" ht="24.6" customHeight="1" x14ac:dyDescent="0.2">
      <c r="B38" s="376">
        <v>2023</v>
      </c>
      <c r="C38" s="70">
        <v>13</v>
      </c>
      <c r="D38" s="70"/>
      <c r="E38" s="70">
        <v>42</v>
      </c>
      <c r="F38" s="70"/>
      <c r="G38" s="342">
        <f t="shared" si="3"/>
        <v>55</v>
      </c>
      <c r="H38" s="344"/>
      <c r="I38" s="248">
        <v>1607</v>
      </c>
      <c r="J38" s="248"/>
      <c r="K38" s="70">
        <v>76276</v>
      </c>
      <c r="L38" s="341"/>
      <c r="M38" s="342">
        <f t="shared" si="4"/>
        <v>77883</v>
      </c>
      <c r="N38" s="342"/>
      <c r="O38" s="248">
        <v>108953</v>
      </c>
      <c r="P38" s="248"/>
      <c r="Q38" s="70">
        <v>1353056</v>
      </c>
      <c r="R38" s="341"/>
      <c r="S38" s="342">
        <f t="shared" si="5"/>
        <v>1462009</v>
      </c>
      <c r="T38" s="344"/>
    </row>
    <row r="39" spans="2:30" ht="24.6" customHeight="1" x14ac:dyDescent="0.2">
      <c r="B39" s="376">
        <v>2024</v>
      </c>
      <c r="C39" s="70">
        <v>16</v>
      </c>
      <c r="D39" s="70"/>
      <c r="E39" s="70">
        <v>47</v>
      </c>
      <c r="F39" s="70"/>
      <c r="G39" s="342">
        <f t="shared" si="3"/>
        <v>63</v>
      </c>
      <c r="H39" s="344"/>
      <c r="I39" s="248">
        <v>1954</v>
      </c>
      <c r="J39" s="248"/>
      <c r="K39" s="70">
        <v>74750</v>
      </c>
      <c r="L39" s="341"/>
      <c r="M39" s="342">
        <f t="shared" si="4"/>
        <v>76704</v>
      </c>
      <c r="N39" s="342"/>
      <c r="O39" s="248">
        <v>164856</v>
      </c>
      <c r="P39" s="248"/>
      <c r="Q39" s="70">
        <v>2130660</v>
      </c>
      <c r="R39" s="341"/>
      <c r="S39" s="342">
        <f t="shared" si="5"/>
        <v>2295516</v>
      </c>
      <c r="T39" s="344"/>
    </row>
    <row r="40" spans="2:30" ht="24.6" customHeight="1" x14ac:dyDescent="0.2">
      <c r="B40" s="376">
        <v>2025</v>
      </c>
      <c r="C40" s="70">
        <v>15</v>
      </c>
      <c r="D40" s="70"/>
      <c r="E40" s="70">
        <v>43</v>
      </c>
      <c r="F40" s="70"/>
      <c r="G40" s="342">
        <f t="shared" si="2"/>
        <v>58</v>
      </c>
      <c r="H40" s="344"/>
      <c r="I40" s="248">
        <v>1983</v>
      </c>
      <c r="J40" s="248"/>
      <c r="K40" s="70">
        <v>72383</v>
      </c>
      <c r="L40" s="341"/>
      <c r="M40" s="342">
        <f t="shared" si="0"/>
        <v>74366</v>
      </c>
      <c r="N40" s="342"/>
      <c r="O40" s="248">
        <v>229768</v>
      </c>
      <c r="P40" s="248"/>
      <c r="Q40" s="70">
        <v>7551966</v>
      </c>
      <c r="R40" s="341"/>
      <c r="S40" s="342">
        <f t="shared" si="1"/>
        <v>7781734</v>
      </c>
      <c r="T40" s="344"/>
    </row>
    <row r="41" spans="2:30" ht="9.75" customHeight="1" x14ac:dyDescent="0.2">
      <c r="B41" s="376"/>
      <c r="C41" s="70"/>
      <c r="D41" s="70"/>
      <c r="E41" s="70"/>
      <c r="F41" s="70"/>
      <c r="G41" s="125"/>
      <c r="H41" s="343"/>
      <c r="I41" s="248"/>
      <c r="J41" s="248"/>
      <c r="K41" s="248"/>
      <c r="L41" s="70"/>
      <c r="M41" s="340"/>
      <c r="N41" s="340"/>
      <c r="O41" s="248"/>
      <c r="P41" s="248"/>
      <c r="Q41" s="248"/>
      <c r="R41" s="70"/>
      <c r="S41" s="340"/>
      <c r="T41" s="341"/>
    </row>
    <row r="42" spans="2:30" s="1" customFormat="1" ht="29.25" customHeight="1" x14ac:dyDescent="0.2">
      <c r="B42" s="5" t="s">
        <v>217</v>
      </c>
      <c r="C42" s="6"/>
      <c r="D42" s="6"/>
      <c r="E42" s="6"/>
      <c r="F42" s="6"/>
      <c r="G42" s="7"/>
      <c r="H42" s="6"/>
      <c r="I42" s="6"/>
      <c r="Y42" s="8"/>
      <c r="Z42" s="4"/>
      <c r="AA42" s="8"/>
      <c r="AB42" s="9"/>
      <c r="AC42" s="8"/>
      <c r="AD42" s="9"/>
    </row>
    <row r="43" spans="2:30" s="1" customFormat="1" ht="29.25" customHeight="1" x14ac:dyDescent="0.2">
      <c r="B43" s="10" t="s">
        <v>257</v>
      </c>
      <c r="C43" s="11"/>
      <c r="D43" s="11"/>
      <c r="E43" s="11"/>
      <c r="F43" s="11"/>
      <c r="G43" s="11"/>
      <c r="H43" s="12"/>
      <c r="I43" s="12"/>
      <c r="J43" s="12"/>
      <c r="K43" s="12"/>
      <c r="Z43" s="13"/>
      <c r="AA43" s="14"/>
      <c r="AB43" s="13"/>
      <c r="AC43" s="14"/>
      <c r="AD43" s="15"/>
    </row>
    <row r="44" spans="2:30" s="1" customFormat="1" ht="29.25" customHeight="1" x14ac:dyDescent="0.2">
      <c r="B44" s="16" t="s">
        <v>245</v>
      </c>
      <c r="D44" s="17"/>
      <c r="E44" s="18"/>
      <c r="F44" s="17"/>
      <c r="G44" s="19"/>
      <c r="H44" s="20"/>
      <c r="I44" s="21"/>
      <c r="J44" s="21"/>
    </row>
  </sheetData>
  <mergeCells count="17">
    <mergeCell ref="G6:H6"/>
    <mergeCell ref="I6:J6"/>
    <mergeCell ref="K6:L6"/>
    <mergeCell ref="B1:T1"/>
    <mergeCell ref="B2:S2"/>
    <mergeCell ref="B3:T3"/>
    <mergeCell ref="B4:S4"/>
    <mergeCell ref="C5:H5"/>
    <mergeCell ref="I5:N5"/>
    <mergeCell ref="O5:T5"/>
    <mergeCell ref="B5:B6"/>
    <mergeCell ref="M6:N6"/>
    <mergeCell ref="O6:P6"/>
    <mergeCell ref="Q6:R6"/>
    <mergeCell ref="S6:T6"/>
    <mergeCell ref="C6:D6"/>
    <mergeCell ref="E6:F6"/>
  </mergeCells>
  <phoneticPr fontId="2" type="noConversion"/>
  <printOptions horizontalCentered="1" verticalCentered="1"/>
  <pageMargins left="0" right="0" top="0" bottom="0" header="0" footer="0"/>
  <pageSetup paperSize="9" scale="48" orientation="landscape" r:id="rId1"/>
  <headerFooter alignWithMargins="0"/>
  <ignoredErrors>
    <ignoredError sqref="G40 G7:G38"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B1:AS56"/>
  <sheetViews>
    <sheetView showGridLines="0" topLeftCell="A10" zoomScale="64" zoomScaleNormal="64" workbookViewId="0">
      <selection activeCell="O12" sqref="O12"/>
    </sheetView>
  </sheetViews>
  <sheetFormatPr baseColWidth="10" defaultColWidth="11.5703125" defaultRowHeight="12.75" x14ac:dyDescent="0.2"/>
  <cols>
    <col min="1" max="1" width="11.5703125" style="38"/>
    <col min="2" max="2" width="47.7109375" style="38" customWidth="1"/>
    <col min="3" max="3" width="14" style="38" customWidth="1"/>
    <col min="4" max="4" width="15.5703125" style="38" customWidth="1"/>
    <col min="5" max="5" width="12.7109375" style="38" customWidth="1"/>
    <col min="6" max="6" width="15" style="38" customWidth="1"/>
    <col min="7" max="7" width="12.7109375" style="38" customWidth="1"/>
    <col min="8" max="8" width="20.7109375" style="38" customWidth="1"/>
    <col min="9" max="9" width="19" style="38" customWidth="1"/>
    <col min="10" max="16384" width="11.5703125" style="38"/>
  </cols>
  <sheetData>
    <row r="1" spans="2:11" ht="27" customHeight="1" x14ac:dyDescent="0.2">
      <c r="B1" s="698" t="s">
        <v>95</v>
      </c>
      <c r="C1" s="698"/>
      <c r="D1" s="698"/>
      <c r="E1" s="698"/>
      <c r="F1" s="698"/>
      <c r="G1" s="698"/>
      <c r="H1" s="698"/>
      <c r="I1" s="698"/>
      <c r="J1" s="73"/>
      <c r="K1" s="73"/>
    </row>
    <row r="2" spans="2:11" s="188" customFormat="1" ht="25.5" customHeight="1" x14ac:dyDescent="0.2">
      <c r="B2" s="187" t="s">
        <v>145</v>
      </c>
    </row>
    <row r="3" spans="2:11" s="188" customFormat="1" ht="36" customHeight="1" x14ac:dyDescent="0.2">
      <c r="B3" s="775" t="s">
        <v>207</v>
      </c>
      <c r="C3" s="775"/>
      <c r="D3" s="775"/>
      <c r="E3" s="775"/>
      <c r="F3" s="775"/>
      <c r="G3" s="775"/>
      <c r="H3" s="775"/>
      <c r="I3" s="775"/>
    </row>
    <row r="4" spans="2:11" s="188" customFormat="1" ht="36" customHeight="1" x14ac:dyDescent="0.2">
      <c r="B4" s="775" t="s">
        <v>205</v>
      </c>
      <c r="C4" s="775"/>
      <c r="D4" s="775"/>
      <c r="E4" s="775"/>
      <c r="F4" s="775"/>
      <c r="G4" s="775"/>
      <c r="H4" s="775"/>
      <c r="I4" s="775"/>
    </row>
    <row r="5" spans="2:11" s="188" customFormat="1" ht="50.25" customHeight="1" x14ac:dyDescent="0.2">
      <c r="B5" s="850" t="s">
        <v>208</v>
      </c>
      <c r="C5" s="851" t="s">
        <v>67</v>
      </c>
      <c r="D5" s="848" t="s">
        <v>15</v>
      </c>
      <c r="E5" s="848"/>
      <c r="F5" s="848" t="s">
        <v>68</v>
      </c>
      <c r="G5" s="848" t="s">
        <v>69</v>
      </c>
      <c r="H5" s="848" t="s">
        <v>12</v>
      </c>
      <c r="I5" s="850" t="s">
        <v>70</v>
      </c>
    </row>
    <row r="6" spans="2:11" s="188" customFormat="1" ht="40.5" customHeight="1" x14ac:dyDescent="0.2">
      <c r="B6" s="850"/>
      <c r="C6" s="852"/>
      <c r="D6" s="346" t="s">
        <v>120</v>
      </c>
      <c r="E6" s="347" t="s">
        <v>5</v>
      </c>
      <c r="F6" s="346" t="s">
        <v>120</v>
      </c>
      <c r="G6" s="347" t="s">
        <v>5</v>
      </c>
      <c r="H6" s="849"/>
      <c r="I6" s="850"/>
    </row>
    <row r="7" spans="2:11" s="83" customFormat="1" ht="25.15" customHeight="1" x14ac:dyDescent="0.2">
      <c r="B7" s="388" t="s">
        <v>71</v>
      </c>
      <c r="C7" s="348">
        <v>29601</v>
      </c>
      <c r="D7" s="94">
        <v>326000</v>
      </c>
      <c r="E7" s="345">
        <v>30.8</v>
      </c>
      <c r="F7" s="94">
        <v>732442</v>
      </c>
      <c r="G7" s="345">
        <v>69.2</v>
      </c>
      <c r="H7" s="94">
        <v>2608000</v>
      </c>
      <c r="I7" s="21" t="s">
        <v>72</v>
      </c>
    </row>
    <row r="8" spans="2:11" s="83" customFormat="1" ht="25.15" customHeight="1" x14ac:dyDescent="0.2">
      <c r="B8" s="388" t="s">
        <v>73</v>
      </c>
      <c r="C8" s="348">
        <v>29851</v>
      </c>
      <c r="D8" s="94">
        <v>72989</v>
      </c>
      <c r="E8" s="345">
        <v>10.6</v>
      </c>
      <c r="F8" s="94">
        <v>615586</v>
      </c>
      <c r="G8" s="345">
        <v>89.4</v>
      </c>
      <c r="H8" s="94">
        <v>583912</v>
      </c>
      <c r="I8" s="21">
        <v>7</v>
      </c>
    </row>
    <row r="9" spans="2:11" s="83" customFormat="1" ht="25.15" customHeight="1" x14ac:dyDescent="0.2">
      <c r="B9" s="388" t="s">
        <v>74</v>
      </c>
      <c r="C9" s="348">
        <v>30385</v>
      </c>
      <c r="D9" s="94">
        <v>298322</v>
      </c>
      <c r="E9" s="345">
        <v>29.4</v>
      </c>
      <c r="F9" s="94">
        <v>716379</v>
      </c>
      <c r="G9" s="345">
        <v>70.599999999999994</v>
      </c>
      <c r="H9" s="94">
        <v>2386576</v>
      </c>
      <c r="I9" s="21">
        <v>7</v>
      </c>
    </row>
    <row r="10" spans="2:11" s="83" customFormat="1" ht="25.15" customHeight="1" x14ac:dyDescent="0.2">
      <c r="B10" s="388" t="s">
        <v>73</v>
      </c>
      <c r="C10" s="348">
        <v>30586</v>
      </c>
      <c r="D10" s="94">
        <v>75117</v>
      </c>
      <c r="E10" s="345">
        <v>22</v>
      </c>
      <c r="F10" s="94">
        <v>266324</v>
      </c>
      <c r="G10" s="345">
        <v>78</v>
      </c>
      <c r="H10" s="94">
        <v>600936</v>
      </c>
      <c r="I10" s="21">
        <v>10</v>
      </c>
    </row>
    <row r="11" spans="2:11" s="83" customFormat="1" ht="25.15" customHeight="1" x14ac:dyDescent="0.2">
      <c r="B11" s="388" t="s">
        <v>74</v>
      </c>
      <c r="C11" s="348">
        <v>30763</v>
      </c>
      <c r="D11" s="94">
        <v>242175</v>
      </c>
      <c r="E11" s="345">
        <v>33.6</v>
      </c>
      <c r="F11" s="94">
        <v>478584</v>
      </c>
      <c r="G11" s="345">
        <v>66.400000000000006</v>
      </c>
      <c r="H11" s="94">
        <v>1937400</v>
      </c>
      <c r="I11" s="21">
        <v>16</v>
      </c>
    </row>
    <row r="12" spans="2:11" s="83" customFormat="1" ht="25.15" customHeight="1" x14ac:dyDescent="0.2">
      <c r="B12" s="388" t="s">
        <v>73</v>
      </c>
      <c r="C12" s="348">
        <v>31015</v>
      </c>
      <c r="D12" s="94">
        <v>101627</v>
      </c>
      <c r="E12" s="345">
        <v>14.9</v>
      </c>
      <c r="F12" s="94">
        <v>580433</v>
      </c>
      <c r="G12" s="345">
        <v>85.1</v>
      </c>
      <c r="H12" s="94">
        <v>813016</v>
      </c>
      <c r="I12" s="21">
        <v>16</v>
      </c>
    </row>
    <row r="13" spans="2:11" s="83" customFormat="1" ht="25.15" customHeight="1" x14ac:dyDescent="0.2">
      <c r="B13" s="388" t="s">
        <v>73</v>
      </c>
      <c r="C13" s="348">
        <v>31916</v>
      </c>
      <c r="D13" s="94">
        <v>105414</v>
      </c>
      <c r="E13" s="345">
        <v>24.6</v>
      </c>
      <c r="F13" s="94">
        <v>323098</v>
      </c>
      <c r="G13" s="345">
        <v>75.400000000000006</v>
      </c>
      <c r="H13" s="94">
        <v>843312</v>
      </c>
      <c r="I13" s="21">
        <v>16</v>
      </c>
    </row>
    <row r="14" spans="2:11" s="83" customFormat="1" ht="25.15" customHeight="1" x14ac:dyDescent="0.2">
      <c r="B14" s="388" t="s">
        <v>73</v>
      </c>
      <c r="C14" s="348">
        <v>32170</v>
      </c>
      <c r="D14" s="94">
        <v>109635</v>
      </c>
      <c r="E14" s="345">
        <v>24.9</v>
      </c>
      <c r="F14" s="94">
        <v>330666</v>
      </c>
      <c r="G14" s="345">
        <v>75.099999999999994</v>
      </c>
      <c r="H14" s="94">
        <v>877080</v>
      </c>
      <c r="I14" s="21">
        <v>15</v>
      </c>
    </row>
    <row r="15" spans="2:11" s="83" customFormat="1" ht="25.15" customHeight="1" x14ac:dyDescent="0.2">
      <c r="B15" s="388" t="s">
        <v>73</v>
      </c>
      <c r="C15" s="348">
        <v>32343</v>
      </c>
      <c r="D15" s="94">
        <v>143576</v>
      </c>
      <c r="E15" s="345">
        <v>30.6</v>
      </c>
      <c r="F15" s="94">
        <v>325627</v>
      </c>
      <c r="G15" s="345">
        <v>69.400000000000006</v>
      </c>
      <c r="H15" s="94">
        <v>1148608</v>
      </c>
      <c r="I15" s="21">
        <v>16</v>
      </c>
    </row>
    <row r="16" spans="2:11" s="83" customFormat="1" ht="25.15" customHeight="1" x14ac:dyDescent="0.2">
      <c r="B16" s="388" t="s">
        <v>73</v>
      </c>
      <c r="C16" s="348">
        <v>32344</v>
      </c>
      <c r="D16" s="94">
        <v>127546</v>
      </c>
      <c r="E16" s="345">
        <v>25.4</v>
      </c>
      <c r="F16" s="94">
        <v>374604</v>
      </c>
      <c r="G16" s="345">
        <v>74.599999999999994</v>
      </c>
      <c r="H16" s="94">
        <v>1020368</v>
      </c>
      <c r="I16" s="21">
        <v>16</v>
      </c>
    </row>
    <row r="17" spans="2:30" s="83" customFormat="1" ht="25.15" customHeight="1" x14ac:dyDescent="0.2">
      <c r="B17" s="388" t="s">
        <v>73</v>
      </c>
      <c r="C17" s="348">
        <v>32429</v>
      </c>
      <c r="D17" s="94">
        <v>88488</v>
      </c>
      <c r="E17" s="345">
        <v>18.8</v>
      </c>
      <c r="F17" s="94">
        <v>382192</v>
      </c>
      <c r="G17" s="345">
        <v>81.2</v>
      </c>
      <c r="H17" s="94">
        <v>707904</v>
      </c>
      <c r="I17" s="21">
        <v>14</v>
      </c>
    </row>
    <row r="18" spans="2:30" s="83" customFormat="1" ht="25.15" customHeight="1" x14ac:dyDescent="0.2">
      <c r="B18" s="388" t="s">
        <v>73</v>
      </c>
      <c r="C18" s="348">
        <v>32478</v>
      </c>
      <c r="D18" s="94">
        <v>49421</v>
      </c>
      <c r="E18" s="345">
        <v>10.5</v>
      </c>
      <c r="F18" s="94">
        <v>421259</v>
      </c>
      <c r="G18" s="345">
        <v>89.5</v>
      </c>
      <c r="H18" s="94">
        <v>395368</v>
      </c>
      <c r="I18" s="21">
        <v>9</v>
      </c>
    </row>
    <row r="19" spans="2:30" s="83" customFormat="1" ht="25.15" customHeight="1" x14ac:dyDescent="0.2">
      <c r="B19" s="388" t="s">
        <v>73</v>
      </c>
      <c r="C19" s="348">
        <v>33106</v>
      </c>
      <c r="D19" s="94">
        <v>18187</v>
      </c>
      <c r="E19" s="345">
        <v>13.5</v>
      </c>
      <c r="F19" s="94">
        <v>116978</v>
      </c>
      <c r="G19" s="345">
        <v>86.6</v>
      </c>
      <c r="H19" s="94">
        <v>145496</v>
      </c>
      <c r="I19" s="21">
        <v>15</v>
      </c>
    </row>
    <row r="20" spans="2:30" s="83" customFormat="1" ht="25.15" customHeight="1" x14ac:dyDescent="0.2">
      <c r="B20" s="388" t="s">
        <v>73</v>
      </c>
      <c r="C20" s="348">
        <v>33437</v>
      </c>
      <c r="D20" s="94">
        <v>40501</v>
      </c>
      <c r="E20" s="345">
        <v>10.4</v>
      </c>
      <c r="F20" s="94">
        <v>347724</v>
      </c>
      <c r="G20" s="345">
        <v>89.6</v>
      </c>
      <c r="H20" s="94">
        <v>324008</v>
      </c>
      <c r="I20" s="21" t="s">
        <v>75</v>
      </c>
    </row>
    <row r="21" spans="2:30" s="83" customFormat="1" ht="25.15" customHeight="1" x14ac:dyDescent="0.2">
      <c r="B21" s="388" t="s">
        <v>76</v>
      </c>
      <c r="C21" s="348">
        <v>33806</v>
      </c>
      <c r="D21" s="94">
        <v>20976</v>
      </c>
      <c r="E21" s="345">
        <v>5.0999999999999996</v>
      </c>
      <c r="F21" s="94">
        <v>390373</v>
      </c>
      <c r="G21" s="345">
        <v>94.9</v>
      </c>
      <c r="H21" s="94">
        <v>167808</v>
      </c>
      <c r="I21" s="21" t="s">
        <v>75</v>
      </c>
    </row>
    <row r="22" spans="2:30" s="83" customFormat="1" ht="25.15" customHeight="1" x14ac:dyDescent="0.2">
      <c r="B22" s="388" t="s">
        <v>130</v>
      </c>
      <c r="C22" s="348">
        <v>36278</v>
      </c>
      <c r="D22" s="94">
        <v>594884</v>
      </c>
      <c r="E22" s="345">
        <v>6.2</v>
      </c>
      <c r="F22" s="94">
        <v>558490</v>
      </c>
      <c r="G22" s="345">
        <v>93.8</v>
      </c>
      <c r="H22" s="94">
        <v>291152</v>
      </c>
      <c r="I22" s="21">
        <v>16</v>
      </c>
    </row>
    <row r="23" spans="2:30" s="83" customFormat="1" ht="25.15" customHeight="1" x14ac:dyDescent="0.2">
      <c r="B23" s="388" t="s">
        <v>129</v>
      </c>
      <c r="C23" s="348">
        <v>36447</v>
      </c>
      <c r="D23" s="94">
        <v>2021</v>
      </c>
      <c r="E23" s="345">
        <v>2.1</v>
      </c>
      <c r="F23" s="94">
        <v>93258</v>
      </c>
      <c r="G23" s="345">
        <v>97.9</v>
      </c>
      <c r="H23" s="94">
        <v>16168</v>
      </c>
      <c r="I23" s="21">
        <v>17</v>
      </c>
    </row>
    <row r="24" spans="2:30" s="83" customFormat="1" ht="25.15" customHeight="1" x14ac:dyDescent="0.2">
      <c r="B24" s="388" t="s">
        <v>128</v>
      </c>
      <c r="C24" s="348">
        <v>36608</v>
      </c>
      <c r="D24" s="94">
        <v>10060</v>
      </c>
      <c r="E24" s="345">
        <v>2.1</v>
      </c>
      <c r="F24" s="94">
        <v>481762</v>
      </c>
      <c r="G24" s="345">
        <v>97.9</v>
      </c>
      <c r="H24" s="94">
        <v>80480</v>
      </c>
      <c r="I24" s="21">
        <v>15</v>
      </c>
    </row>
    <row r="25" spans="2:30" s="83" customFormat="1" ht="25.15" customHeight="1" x14ac:dyDescent="0.2">
      <c r="B25" s="388" t="s">
        <v>128</v>
      </c>
      <c r="C25" s="348">
        <v>36671</v>
      </c>
      <c r="D25" s="94">
        <v>8654</v>
      </c>
      <c r="E25" s="345">
        <v>1.5</v>
      </c>
      <c r="F25" s="94">
        <v>554058</v>
      </c>
      <c r="G25" s="345">
        <v>98.5</v>
      </c>
      <c r="H25" s="94">
        <v>69232</v>
      </c>
      <c r="I25" s="21">
        <v>16</v>
      </c>
    </row>
    <row r="26" spans="2:30" s="83" customFormat="1" ht="25.15" customHeight="1" x14ac:dyDescent="0.2">
      <c r="B26" s="388" t="s">
        <v>128</v>
      </c>
      <c r="C26" s="348">
        <v>36811</v>
      </c>
      <c r="D26" s="94">
        <v>3291</v>
      </c>
      <c r="E26" s="345">
        <v>0.8</v>
      </c>
      <c r="F26" s="94">
        <v>426590</v>
      </c>
      <c r="G26" s="345">
        <v>99.2</v>
      </c>
      <c r="H26" s="94">
        <v>26328</v>
      </c>
      <c r="I26" s="21">
        <v>14</v>
      </c>
    </row>
    <row r="27" spans="2:30" s="83" customFormat="1" ht="25.15" customHeight="1" x14ac:dyDescent="0.2">
      <c r="B27" s="396" t="s">
        <v>127</v>
      </c>
      <c r="C27" s="348">
        <v>37239</v>
      </c>
      <c r="D27" s="94">
        <v>1372</v>
      </c>
      <c r="E27" s="345">
        <v>0.5</v>
      </c>
      <c r="F27" s="94">
        <v>299880</v>
      </c>
      <c r="G27" s="345">
        <v>99.5</v>
      </c>
      <c r="H27" s="94">
        <v>10976</v>
      </c>
      <c r="I27" s="21" t="s">
        <v>75</v>
      </c>
    </row>
    <row r="28" spans="2:30" s="83" customFormat="1" ht="25.15" customHeight="1" x14ac:dyDescent="0.2">
      <c r="B28" s="388" t="s">
        <v>126</v>
      </c>
      <c r="C28" s="348">
        <v>37390</v>
      </c>
      <c r="D28" s="94">
        <v>24610</v>
      </c>
      <c r="E28" s="345">
        <v>6.9</v>
      </c>
      <c r="F28" s="94">
        <v>331184</v>
      </c>
      <c r="G28" s="345">
        <v>93.1</v>
      </c>
      <c r="H28" s="94">
        <v>196880</v>
      </c>
      <c r="I28" s="21">
        <v>15</v>
      </c>
    </row>
    <row r="29" spans="2:30" s="83" customFormat="1" ht="25.15" customHeight="1" x14ac:dyDescent="0.2">
      <c r="B29" s="388" t="s">
        <v>73</v>
      </c>
      <c r="C29" s="348">
        <v>37525</v>
      </c>
      <c r="D29" s="94">
        <v>8141</v>
      </c>
      <c r="E29" s="345">
        <v>2.2000000000000002</v>
      </c>
      <c r="F29" s="94">
        <v>367652</v>
      </c>
      <c r="G29" s="345">
        <v>97.8</v>
      </c>
      <c r="H29" s="94">
        <v>65128</v>
      </c>
      <c r="I29" s="21">
        <v>13</v>
      </c>
    </row>
    <row r="30" spans="2:30" s="83" customFormat="1" ht="25.15" customHeight="1" x14ac:dyDescent="0.2">
      <c r="B30" s="388" t="s">
        <v>73</v>
      </c>
      <c r="C30" s="348">
        <v>38182</v>
      </c>
      <c r="D30" s="94">
        <v>30273</v>
      </c>
      <c r="E30" s="345">
        <v>6.2</v>
      </c>
      <c r="F30" s="94">
        <v>458049</v>
      </c>
      <c r="G30" s="345">
        <v>93.8</v>
      </c>
      <c r="H30" s="94">
        <v>242184</v>
      </c>
      <c r="I30" s="21">
        <v>14</v>
      </c>
    </row>
    <row r="31" spans="2:30" s="83" customFormat="1" ht="25.15" customHeight="1" x14ac:dyDescent="0.2">
      <c r="B31" s="388" t="s">
        <v>73</v>
      </c>
      <c r="C31" s="348">
        <v>39638</v>
      </c>
      <c r="D31" s="94">
        <v>1426</v>
      </c>
      <c r="E31" s="345">
        <v>1.6</v>
      </c>
      <c r="F31" s="94">
        <v>85626</v>
      </c>
      <c r="G31" s="345">
        <v>98.4</v>
      </c>
      <c r="H31" s="94">
        <v>11408</v>
      </c>
      <c r="I31" s="21">
        <v>25</v>
      </c>
    </row>
    <row r="32" spans="2:30" s="1" customFormat="1" ht="29.25" customHeight="1" x14ac:dyDescent="0.2">
      <c r="B32" s="5" t="s">
        <v>217</v>
      </c>
      <c r="C32" s="6"/>
      <c r="D32" s="6"/>
      <c r="E32" s="6"/>
      <c r="F32" s="6"/>
      <c r="G32" s="7"/>
      <c r="H32" s="6"/>
      <c r="I32" s="6"/>
      <c r="Y32" s="8"/>
      <c r="Z32" s="4"/>
      <c r="AA32" s="8"/>
      <c r="AB32" s="9"/>
      <c r="AC32" s="8"/>
      <c r="AD32" s="9"/>
    </row>
    <row r="33" spans="2:45" s="1" customFormat="1" ht="29.25" customHeight="1" x14ac:dyDescent="0.2">
      <c r="B33" s="10" t="s">
        <v>257</v>
      </c>
      <c r="C33" s="11"/>
      <c r="D33" s="11"/>
      <c r="E33" s="11"/>
      <c r="F33" s="11"/>
      <c r="G33" s="11"/>
      <c r="H33" s="12"/>
      <c r="I33" s="12"/>
      <c r="J33" s="12"/>
      <c r="K33" s="12"/>
      <c r="Z33" s="13"/>
      <c r="AA33" s="14"/>
      <c r="AB33" s="13"/>
      <c r="AC33" s="14"/>
      <c r="AD33" s="15"/>
    </row>
    <row r="34" spans="2:45" s="1" customFormat="1" ht="29.25" customHeight="1" x14ac:dyDescent="0.2">
      <c r="B34" s="16" t="s">
        <v>245</v>
      </c>
      <c r="D34" s="17"/>
      <c r="E34" s="18"/>
      <c r="F34" s="17"/>
      <c r="G34" s="19"/>
      <c r="H34" s="20"/>
      <c r="I34" s="21"/>
      <c r="J34" s="21"/>
    </row>
    <row r="35" spans="2:45" s="83" customFormat="1" ht="25.15" customHeight="1" x14ac:dyDescent="0.2">
      <c r="B35" s="618" t="s">
        <v>280</v>
      </c>
    </row>
    <row r="36" spans="2:45" ht="34.9" customHeight="1" x14ac:dyDescent="0.2">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row>
    <row r="38" spans="2:45" s="83" customFormat="1" ht="25.15" customHeight="1" x14ac:dyDescent="0.2"/>
    <row r="39" spans="2:45" s="83" customFormat="1" ht="25.15" customHeight="1" x14ac:dyDescent="0.2"/>
    <row r="40" spans="2:45" s="83" customFormat="1" ht="25.15" customHeight="1" x14ac:dyDescent="0.2"/>
    <row r="41" spans="2:45" s="83" customFormat="1" ht="25.15" customHeight="1" x14ac:dyDescent="0.2"/>
    <row r="42" spans="2:45" s="83" customFormat="1" ht="25.15" customHeight="1" x14ac:dyDescent="0.2"/>
    <row r="43" spans="2:45" s="83" customFormat="1" ht="25.15" customHeight="1" x14ac:dyDescent="0.2"/>
    <row r="44" spans="2:45" s="83" customFormat="1" ht="25.15" customHeight="1" x14ac:dyDescent="0.2"/>
    <row r="45" spans="2:45" s="83" customFormat="1" ht="25.15" customHeight="1" x14ac:dyDescent="0.2"/>
    <row r="46" spans="2:45" s="83" customFormat="1" ht="25.15" customHeight="1" x14ac:dyDescent="0.2"/>
    <row r="47" spans="2:45" s="83" customFormat="1" ht="25.15" customHeight="1" x14ac:dyDescent="0.2"/>
    <row r="48" spans="2:45" s="83" customFormat="1" ht="25.15" customHeight="1" x14ac:dyDescent="0.2"/>
    <row r="49" s="83" customFormat="1" ht="25.15" customHeight="1" x14ac:dyDescent="0.2"/>
    <row r="50" s="83" customFormat="1" ht="25.15" customHeight="1" x14ac:dyDescent="0.2"/>
    <row r="51" s="83" customFormat="1" ht="25.15" customHeight="1" x14ac:dyDescent="0.2"/>
    <row r="52" s="83" customFormat="1" ht="25.15" customHeight="1" x14ac:dyDescent="0.2"/>
    <row r="53" s="83" customFormat="1" ht="25.15" customHeight="1" x14ac:dyDescent="0.2"/>
    <row r="54" s="83" customFormat="1" ht="25.15" customHeight="1" x14ac:dyDescent="0.2"/>
    <row r="55" s="83" customFormat="1" ht="25.15" customHeight="1" x14ac:dyDescent="0.2"/>
    <row r="56" s="83" customFormat="1" ht="25.15" customHeight="1" x14ac:dyDescent="0.2"/>
  </sheetData>
  <mergeCells count="9">
    <mergeCell ref="B1:I1"/>
    <mergeCell ref="B4:I4"/>
    <mergeCell ref="H5:H6"/>
    <mergeCell ref="I5:I6"/>
    <mergeCell ref="B3:I3"/>
    <mergeCell ref="B5:B6"/>
    <mergeCell ref="C5:C6"/>
    <mergeCell ref="D5:E5"/>
    <mergeCell ref="F5:G5"/>
  </mergeCells>
  <phoneticPr fontId="2" type="noConversion"/>
  <printOptions horizontalCentered="1" verticalCentered="1"/>
  <pageMargins left="0" right="0" top="0" bottom="0" header="0" footer="0"/>
  <pageSetup paperSize="9" scale="60" orientation="portrait" r:id="rId1"/>
  <headerFooter alignWithMargins="0"/>
  <colBreaks count="1" manualBreakCount="1">
    <brk id="9"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B1:IW25"/>
  <sheetViews>
    <sheetView showGridLines="0" topLeftCell="A16" zoomScale="68" zoomScaleNormal="68" workbookViewId="0">
      <selection activeCell="B20" sqref="B20"/>
    </sheetView>
  </sheetViews>
  <sheetFormatPr baseColWidth="10" defaultColWidth="11.42578125" defaultRowHeight="12.75" x14ac:dyDescent="0.2"/>
  <cols>
    <col min="1" max="1" width="11.42578125" style="1"/>
    <col min="2" max="2" width="34.7109375" style="1" customWidth="1"/>
    <col min="3" max="3" width="10.7109375" style="1" customWidth="1"/>
    <col min="4" max="4" width="2.7109375" style="1" customWidth="1"/>
    <col min="5" max="5" width="15.7109375" style="1" customWidth="1"/>
    <col min="6" max="6" width="5.7109375" style="1" customWidth="1"/>
    <col min="7" max="7" width="15.7109375" style="1" customWidth="1"/>
    <col min="8" max="8" width="5.7109375" style="1" customWidth="1"/>
    <col min="9" max="9" width="15.28515625" style="1" customWidth="1"/>
    <col min="10" max="10" width="2.5703125" style="1" customWidth="1"/>
    <col min="11" max="11" width="15.7109375" style="1" customWidth="1"/>
    <col min="12" max="12" width="5.7109375" style="1" customWidth="1"/>
    <col min="13" max="13" width="15.7109375" style="1" customWidth="1"/>
    <col min="14" max="14" width="5.7109375" style="1" customWidth="1"/>
    <col min="15" max="15" width="10.7109375" style="1" customWidth="1"/>
    <col min="16" max="16" width="2.7109375" style="1" customWidth="1"/>
    <col min="17" max="17" width="15.7109375" style="1" customWidth="1"/>
    <col min="18" max="18" width="5.7109375" style="1" customWidth="1"/>
    <col min="19" max="19" width="15.7109375" style="1" customWidth="1"/>
    <col min="20" max="20" width="5.7109375" style="1" customWidth="1"/>
    <col min="21" max="21" width="20" style="1" customWidth="1"/>
    <col min="22" max="16384" width="11.42578125" style="1"/>
  </cols>
  <sheetData>
    <row r="1" spans="2:257" ht="30" customHeight="1" x14ac:dyDescent="0.2">
      <c r="B1" s="691" t="s">
        <v>121</v>
      </c>
      <c r="C1" s="691"/>
      <c r="D1" s="691"/>
      <c r="E1" s="691"/>
      <c r="F1" s="691"/>
      <c r="G1" s="691"/>
      <c r="H1" s="691"/>
      <c r="I1" s="691"/>
      <c r="J1" s="691"/>
      <c r="K1" s="691"/>
      <c r="L1" s="691"/>
      <c r="M1" s="691"/>
      <c r="N1" s="691"/>
      <c r="O1" s="691"/>
      <c r="P1" s="691"/>
      <c r="Q1" s="691"/>
      <c r="R1" s="691"/>
      <c r="S1" s="691"/>
      <c r="T1" s="691"/>
    </row>
    <row r="2" spans="2:257" s="3" customFormat="1" ht="30" customHeight="1" x14ac:dyDescent="0.2">
      <c r="B2" s="31" t="s">
        <v>145</v>
      </c>
      <c r="C2" s="31"/>
      <c r="D2" s="31"/>
      <c r="E2" s="31"/>
      <c r="F2" s="31"/>
      <c r="G2" s="31"/>
      <c r="H2" s="31"/>
      <c r="I2" s="31"/>
      <c r="J2" s="31"/>
      <c r="K2" s="31"/>
      <c r="L2" s="31"/>
      <c r="M2" s="31"/>
      <c r="N2" s="31"/>
      <c r="O2" s="31"/>
    </row>
    <row r="3" spans="2:257" s="3" customFormat="1" ht="47.25" customHeight="1" x14ac:dyDescent="0.2">
      <c r="B3" s="704" t="s">
        <v>190</v>
      </c>
      <c r="C3" s="704"/>
      <c r="D3" s="704"/>
      <c r="E3" s="704"/>
      <c r="F3" s="704"/>
      <c r="G3" s="704"/>
      <c r="H3" s="704"/>
      <c r="I3" s="704"/>
      <c r="J3" s="704"/>
      <c r="K3" s="704"/>
      <c r="L3" s="704"/>
      <c r="M3" s="704"/>
      <c r="N3" s="704"/>
      <c r="O3" s="704"/>
      <c r="P3" s="704"/>
      <c r="Q3" s="704"/>
      <c r="R3" s="704"/>
      <c r="S3" s="704"/>
      <c r="T3" s="704"/>
      <c r="U3" s="31"/>
      <c r="V3" s="31"/>
      <c r="W3" s="31"/>
      <c r="X3" s="31"/>
      <c r="Y3" s="31"/>
      <c r="Z3" s="31"/>
      <c r="AA3" s="31"/>
      <c r="AB3" s="698"/>
      <c r="AC3" s="698"/>
      <c r="AD3" s="698"/>
      <c r="AE3" s="698"/>
      <c r="AF3" s="698"/>
      <c r="AG3" s="698"/>
      <c r="AH3" s="698"/>
      <c r="AI3" s="698"/>
      <c r="AJ3" s="698"/>
      <c r="AK3" s="698"/>
      <c r="AL3" s="698"/>
      <c r="AM3" s="698"/>
      <c r="AN3" s="698"/>
      <c r="AO3" s="698"/>
      <c r="AP3" s="698"/>
      <c r="AQ3" s="698"/>
      <c r="AR3" s="698"/>
      <c r="AS3" s="698"/>
      <c r="AT3" s="698"/>
      <c r="AU3" s="698"/>
      <c r="AV3" s="698"/>
      <c r="AW3" s="698"/>
      <c r="AX3" s="698"/>
      <c r="AY3" s="698"/>
      <c r="AZ3" s="698"/>
      <c r="BA3" s="698"/>
      <c r="BB3" s="698"/>
      <c r="BC3" s="698"/>
      <c r="BD3" s="698"/>
      <c r="BE3" s="698"/>
      <c r="BF3" s="698"/>
      <c r="BG3" s="698"/>
      <c r="BH3" s="698"/>
      <c r="BI3" s="698"/>
      <c r="BJ3" s="698"/>
      <c r="BK3" s="698"/>
      <c r="BL3" s="698"/>
      <c r="BM3" s="698"/>
      <c r="BN3" s="698"/>
      <c r="BO3" s="698"/>
      <c r="BP3" s="698"/>
      <c r="BQ3" s="698"/>
      <c r="BR3" s="698"/>
      <c r="BS3" s="698"/>
      <c r="BT3" s="698"/>
      <c r="BU3" s="698"/>
      <c r="BV3" s="698"/>
      <c r="BW3" s="698"/>
      <c r="BX3" s="698"/>
      <c r="BY3" s="698"/>
      <c r="BZ3" s="698"/>
      <c r="CA3" s="698"/>
      <c r="CB3" s="698"/>
      <c r="CC3" s="698"/>
      <c r="CD3" s="698"/>
      <c r="CE3" s="698"/>
      <c r="CF3" s="698"/>
      <c r="CG3" s="698"/>
      <c r="CH3" s="698"/>
      <c r="CI3" s="698"/>
      <c r="CJ3" s="698"/>
      <c r="CK3" s="698"/>
      <c r="CL3" s="698"/>
      <c r="CM3" s="698"/>
      <c r="CN3" s="698"/>
      <c r="CO3" s="698"/>
      <c r="CP3" s="698"/>
      <c r="CQ3" s="698"/>
      <c r="CR3" s="698"/>
      <c r="CS3" s="698"/>
      <c r="CT3" s="698"/>
      <c r="CU3" s="698"/>
      <c r="CV3" s="698"/>
      <c r="CW3" s="698"/>
      <c r="CX3" s="698"/>
      <c r="CY3" s="698"/>
      <c r="CZ3" s="698"/>
      <c r="DA3" s="698"/>
      <c r="DB3" s="698"/>
      <c r="DC3" s="698"/>
      <c r="DD3" s="698"/>
      <c r="DE3" s="698"/>
      <c r="DF3" s="698"/>
      <c r="DG3" s="698"/>
      <c r="DH3" s="698"/>
      <c r="DI3" s="698"/>
      <c r="DJ3" s="698"/>
      <c r="DK3" s="698"/>
      <c r="DL3" s="698"/>
      <c r="DM3" s="698"/>
      <c r="DN3" s="698"/>
      <c r="DO3" s="698"/>
      <c r="DP3" s="698"/>
      <c r="DQ3" s="698"/>
      <c r="DR3" s="698"/>
      <c r="DS3" s="698"/>
      <c r="DT3" s="698"/>
      <c r="DU3" s="698"/>
      <c r="DV3" s="698"/>
      <c r="DW3" s="698"/>
      <c r="DX3" s="698"/>
      <c r="DY3" s="698"/>
      <c r="DZ3" s="698"/>
      <c r="EA3" s="698"/>
      <c r="EB3" s="698"/>
      <c r="EC3" s="698"/>
      <c r="ED3" s="698"/>
      <c r="EE3" s="698"/>
      <c r="EF3" s="698"/>
      <c r="EG3" s="698"/>
      <c r="EH3" s="698"/>
      <c r="EI3" s="698"/>
      <c r="EJ3" s="698"/>
      <c r="EK3" s="698"/>
      <c r="EL3" s="698"/>
      <c r="EM3" s="698"/>
      <c r="EN3" s="698"/>
      <c r="EO3" s="698"/>
      <c r="EP3" s="698"/>
      <c r="EQ3" s="698"/>
      <c r="ER3" s="698"/>
      <c r="ES3" s="698"/>
      <c r="ET3" s="698"/>
      <c r="EU3" s="698"/>
      <c r="EV3" s="698"/>
      <c r="EW3" s="698"/>
      <c r="EX3" s="698"/>
      <c r="EY3" s="698"/>
      <c r="EZ3" s="698"/>
      <c r="FA3" s="698"/>
      <c r="FB3" s="698"/>
      <c r="FC3" s="698"/>
      <c r="FD3" s="698"/>
      <c r="FE3" s="698"/>
      <c r="FF3" s="698"/>
      <c r="FG3" s="698"/>
      <c r="FH3" s="698"/>
      <c r="FI3" s="698"/>
      <c r="FJ3" s="698"/>
      <c r="FK3" s="698"/>
      <c r="FL3" s="698"/>
      <c r="FM3" s="698"/>
      <c r="FN3" s="698"/>
      <c r="FO3" s="698"/>
      <c r="FP3" s="698"/>
      <c r="FQ3" s="698"/>
      <c r="FR3" s="698"/>
      <c r="FS3" s="698"/>
      <c r="FT3" s="698"/>
      <c r="FU3" s="698"/>
      <c r="FV3" s="698"/>
      <c r="FW3" s="698"/>
      <c r="FX3" s="698"/>
      <c r="FY3" s="698"/>
      <c r="FZ3" s="698"/>
      <c r="GA3" s="698"/>
      <c r="GB3" s="698"/>
      <c r="GC3" s="698"/>
      <c r="GD3" s="698"/>
      <c r="GE3" s="698"/>
      <c r="GF3" s="698"/>
      <c r="GG3" s="698"/>
      <c r="GH3" s="698"/>
      <c r="GI3" s="698"/>
      <c r="GJ3" s="698"/>
      <c r="GK3" s="698"/>
      <c r="GL3" s="698"/>
      <c r="GM3" s="698"/>
      <c r="GN3" s="698"/>
      <c r="GO3" s="698"/>
      <c r="GP3" s="698"/>
      <c r="GQ3" s="698"/>
      <c r="GR3" s="698"/>
      <c r="GS3" s="698"/>
      <c r="GT3" s="698"/>
      <c r="GU3" s="698"/>
      <c r="GV3" s="698"/>
      <c r="GW3" s="698"/>
      <c r="GX3" s="698"/>
      <c r="GY3" s="698"/>
      <c r="GZ3" s="698"/>
      <c r="HA3" s="698"/>
      <c r="HB3" s="698"/>
      <c r="HC3" s="698"/>
      <c r="HD3" s="698"/>
      <c r="HE3" s="698"/>
      <c r="HF3" s="698"/>
      <c r="HG3" s="698"/>
      <c r="HH3" s="698"/>
      <c r="HI3" s="698"/>
      <c r="HJ3" s="698"/>
      <c r="HK3" s="698"/>
      <c r="HL3" s="698"/>
      <c r="HM3" s="698"/>
      <c r="HN3" s="698"/>
      <c r="HO3" s="698"/>
      <c r="HP3" s="698"/>
      <c r="HQ3" s="698"/>
      <c r="HR3" s="698"/>
      <c r="HS3" s="698"/>
      <c r="HT3" s="698"/>
      <c r="HU3" s="698"/>
      <c r="HV3" s="698"/>
      <c r="HW3" s="698"/>
      <c r="HX3" s="698"/>
      <c r="HY3" s="698"/>
      <c r="HZ3" s="698"/>
      <c r="IA3" s="698"/>
      <c r="IB3" s="698"/>
      <c r="IC3" s="698"/>
      <c r="ID3" s="698"/>
      <c r="IE3" s="698"/>
      <c r="IF3" s="698"/>
      <c r="IG3" s="698"/>
      <c r="IH3" s="698"/>
      <c r="II3" s="698"/>
      <c r="IJ3" s="698"/>
      <c r="IK3" s="698"/>
      <c r="IL3" s="698"/>
      <c r="IM3" s="698"/>
      <c r="IN3" s="698"/>
      <c r="IO3" s="698"/>
      <c r="IP3" s="698"/>
      <c r="IQ3" s="698"/>
      <c r="IR3" s="698"/>
      <c r="IS3" s="698"/>
      <c r="IT3" s="698"/>
      <c r="IU3" s="698"/>
      <c r="IV3" s="698"/>
      <c r="IW3" s="698"/>
    </row>
    <row r="4" spans="2:257" s="3" customFormat="1" ht="30" customHeight="1" x14ac:dyDescent="0.2">
      <c r="B4" s="698">
        <v>2025</v>
      </c>
      <c r="C4" s="698"/>
      <c r="D4" s="698"/>
      <c r="E4" s="698"/>
      <c r="F4" s="698"/>
      <c r="G4" s="698"/>
      <c r="H4" s="698"/>
      <c r="I4" s="698"/>
      <c r="J4" s="698"/>
      <c r="K4" s="698"/>
      <c r="L4" s="698"/>
      <c r="M4" s="698"/>
      <c r="N4" s="698"/>
      <c r="O4" s="698"/>
      <c r="P4" s="698"/>
      <c r="Q4" s="698"/>
      <c r="R4" s="698"/>
      <c r="S4" s="698"/>
      <c r="T4" s="698"/>
      <c r="U4" s="31"/>
      <c r="V4" s="31"/>
      <c r="W4" s="31"/>
      <c r="X4" s="31"/>
      <c r="Y4" s="31"/>
      <c r="Z4" s="31"/>
      <c r="AA4" s="31"/>
      <c r="AB4" s="698"/>
      <c r="AC4" s="698"/>
      <c r="AD4" s="698"/>
      <c r="AE4" s="698"/>
      <c r="AF4" s="698"/>
      <c r="AG4" s="698"/>
      <c r="AH4" s="698"/>
      <c r="AI4" s="698"/>
      <c r="AJ4" s="698"/>
      <c r="AK4" s="698"/>
      <c r="AL4" s="698"/>
      <c r="AM4" s="698"/>
      <c r="AN4" s="698"/>
      <c r="AO4" s="698"/>
      <c r="AP4" s="698"/>
      <c r="AQ4" s="698"/>
      <c r="AR4" s="698"/>
      <c r="AS4" s="698"/>
      <c r="AT4" s="698"/>
      <c r="AU4" s="698"/>
      <c r="AV4" s="698"/>
      <c r="AW4" s="698"/>
      <c r="AX4" s="698"/>
      <c r="AY4" s="698"/>
      <c r="AZ4" s="698"/>
      <c r="BA4" s="698"/>
      <c r="BB4" s="698"/>
      <c r="BC4" s="698"/>
      <c r="BD4" s="698"/>
      <c r="BE4" s="698"/>
      <c r="BF4" s="698"/>
      <c r="BG4" s="698"/>
      <c r="BH4" s="698"/>
      <c r="BI4" s="698"/>
      <c r="BJ4" s="698"/>
      <c r="BK4" s="698"/>
      <c r="BL4" s="698"/>
      <c r="BM4" s="698"/>
      <c r="BN4" s="698"/>
      <c r="BO4" s="698"/>
      <c r="BP4" s="698"/>
      <c r="BQ4" s="698"/>
      <c r="BR4" s="698"/>
      <c r="BS4" s="698"/>
      <c r="BT4" s="698"/>
      <c r="BU4" s="698"/>
      <c r="BV4" s="698"/>
      <c r="BW4" s="698"/>
      <c r="BX4" s="698"/>
      <c r="BY4" s="698"/>
      <c r="BZ4" s="698"/>
      <c r="CA4" s="698"/>
      <c r="CB4" s="698"/>
      <c r="CC4" s="698"/>
      <c r="CD4" s="698"/>
      <c r="CE4" s="698"/>
      <c r="CF4" s="698"/>
      <c r="CG4" s="698"/>
      <c r="CH4" s="698"/>
      <c r="CI4" s="698"/>
      <c r="CJ4" s="698"/>
      <c r="CK4" s="698"/>
      <c r="CL4" s="698"/>
      <c r="CM4" s="698"/>
      <c r="CN4" s="698"/>
      <c r="CO4" s="698"/>
      <c r="CP4" s="698"/>
      <c r="CQ4" s="698"/>
      <c r="CR4" s="698"/>
      <c r="CS4" s="698"/>
      <c r="CT4" s="698"/>
      <c r="CU4" s="698"/>
      <c r="CV4" s="698"/>
      <c r="CW4" s="698"/>
      <c r="CX4" s="698"/>
      <c r="CY4" s="698"/>
      <c r="CZ4" s="698"/>
      <c r="DA4" s="698"/>
      <c r="DB4" s="698"/>
      <c r="DC4" s="698"/>
      <c r="DD4" s="698"/>
      <c r="DE4" s="698"/>
      <c r="DF4" s="698"/>
      <c r="DG4" s="698"/>
      <c r="DH4" s="698"/>
      <c r="DI4" s="698"/>
      <c r="DJ4" s="698"/>
      <c r="DK4" s="698"/>
      <c r="DL4" s="698"/>
      <c r="DM4" s="698"/>
      <c r="DN4" s="698"/>
      <c r="DO4" s="698"/>
      <c r="DP4" s="698"/>
      <c r="DQ4" s="698"/>
      <c r="DR4" s="698"/>
      <c r="DS4" s="698"/>
      <c r="DT4" s="698"/>
      <c r="DU4" s="698"/>
      <c r="DV4" s="698"/>
      <c r="DW4" s="698"/>
      <c r="DX4" s="698"/>
      <c r="DY4" s="698"/>
      <c r="DZ4" s="698"/>
      <c r="EA4" s="698"/>
      <c r="EB4" s="698"/>
      <c r="EC4" s="698"/>
      <c r="ED4" s="698"/>
      <c r="EE4" s="698"/>
      <c r="EF4" s="698"/>
      <c r="EG4" s="698"/>
      <c r="EH4" s="698"/>
      <c r="EI4" s="698"/>
      <c r="EJ4" s="698"/>
      <c r="EK4" s="698"/>
      <c r="EL4" s="698"/>
      <c r="EM4" s="698"/>
      <c r="EN4" s="698"/>
      <c r="EO4" s="698"/>
      <c r="EP4" s="698"/>
      <c r="EQ4" s="698"/>
      <c r="ER4" s="698"/>
      <c r="ES4" s="698"/>
      <c r="ET4" s="698"/>
      <c r="EU4" s="698"/>
      <c r="EV4" s="698"/>
      <c r="EW4" s="698"/>
      <c r="EX4" s="698"/>
      <c r="EY4" s="698"/>
      <c r="EZ4" s="698"/>
      <c r="FA4" s="698"/>
      <c r="FB4" s="698"/>
      <c r="FC4" s="698"/>
      <c r="FD4" s="698"/>
      <c r="FE4" s="698"/>
      <c r="FF4" s="698"/>
      <c r="FG4" s="698"/>
      <c r="FH4" s="698"/>
      <c r="FI4" s="698"/>
      <c r="FJ4" s="698"/>
      <c r="FK4" s="698"/>
      <c r="FL4" s="698"/>
      <c r="FM4" s="698"/>
      <c r="FN4" s="698"/>
      <c r="FO4" s="698"/>
      <c r="FP4" s="698"/>
      <c r="FQ4" s="698"/>
      <c r="FR4" s="698"/>
      <c r="FS4" s="698"/>
      <c r="FT4" s="698"/>
      <c r="FU4" s="698"/>
      <c r="FV4" s="698"/>
      <c r="FW4" s="698"/>
      <c r="FX4" s="698"/>
      <c r="FY4" s="698"/>
      <c r="FZ4" s="698"/>
      <c r="GA4" s="698"/>
      <c r="GB4" s="698"/>
      <c r="GC4" s="698"/>
      <c r="GD4" s="698"/>
      <c r="GE4" s="698"/>
      <c r="GF4" s="698"/>
      <c r="GG4" s="698"/>
      <c r="GH4" s="698"/>
      <c r="GI4" s="698"/>
      <c r="GJ4" s="698"/>
      <c r="GK4" s="698"/>
      <c r="GL4" s="698"/>
      <c r="GM4" s="698"/>
      <c r="GN4" s="698"/>
      <c r="GO4" s="698"/>
      <c r="GP4" s="698"/>
      <c r="GQ4" s="698"/>
      <c r="GR4" s="698"/>
      <c r="GS4" s="698"/>
      <c r="GT4" s="698"/>
      <c r="GU4" s="698"/>
      <c r="GV4" s="698"/>
      <c r="GW4" s="698"/>
      <c r="GX4" s="698"/>
      <c r="GY4" s="698"/>
      <c r="GZ4" s="698"/>
      <c r="HA4" s="698"/>
      <c r="HB4" s="698"/>
      <c r="HC4" s="698"/>
      <c r="HD4" s="698"/>
      <c r="HE4" s="698"/>
      <c r="HF4" s="698"/>
      <c r="HG4" s="698"/>
      <c r="HH4" s="698"/>
      <c r="HI4" s="698"/>
      <c r="HJ4" s="698"/>
      <c r="HK4" s="698"/>
      <c r="HL4" s="698"/>
      <c r="HM4" s="698"/>
      <c r="HN4" s="698"/>
      <c r="HO4" s="698"/>
      <c r="HP4" s="698"/>
      <c r="HQ4" s="698"/>
      <c r="HR4" s="698"/>
      <c r="HS4" s="698"/>
      <c r="HT4" s="698"/>
      <c r="HU4" s="698"/>
      <c r="HV4" s="698"/>
      <c r="HW4" s="698"/>
      <c r="HX4" s="698"/>
      <c r="HY4" s="698"/>
      <c r="HZ4" s="698"/>
      <c r="IA4" s="698"/>
      <c r="IB4" s="698"/>
      <c r="IC4" s="698"/>
      <c r="ID4" s="698"/>
      <c r="IE4" s="698"/>
      <c r="IF4" s="698"/>
      <c r="IG4" s="698"/>
      <c r="IH4" s="698"/>
      <c r="II4" s="698"/>
      <c r="IJ4" s="698"/>
      <c r="IK4" s="698"/>
      <c r="IL4" s="698"/>
      <c r="IM4" s="698"/>
      <c r="IN4" s="698"/>
      <c r="IO4" s="698"/>
      <c r="IP4" s="698"/>
      <c r="IQ4" s="698"/>
      <c r="IR4" s="698"/>
      <c r="IS4" s="698"/>
      <c r="IT4" s="698"/>
      <c r="IU4" s="698"/>
      <c r="IV4" s="698"/>
      <c r="IW4" s="698"/>
    </row>
    <row r="5" spans="2:257" ht="48.75" customHeight="1" x14ac:dyDescent="0.2">
      <c r="B5" s="750" t="s">
        <v>143</v>
      </c>
      <c r="C5" s="720" t="s">
        <v>342</v>
      </c>
      <c r="D5" s="720"/>
      <c r="E5" s="720"/>
      <c r="F5" s="720"/>
      <c r="G5" s="720"/>
      <c r="H5" s="720"/>
      <c r="I5" s="720" t="s">
        <v>138</v>
      </c>
      <c r="J5" s="720"/>
      <c r="K5" s="720"/>
      <c r="L5" s="720"/>
      <c r="M5" s="720"/>
      <c r="N5" s="720"/>
      <c r="O5" s="720" t="s">
        <v>6</v>
      </c>
      <c r="P5" s="720"/>
      <c r="Q5" s="720"/>
      <c r="R5" s="720"/>
      <c r="S5" s="720"/>
      <c r="T5" s="710"/>
    </row>
    <row r="6" spans="2:257" ht="69" customHeight="1" x14ac:dyDescent="0.2">
      <c r="B6" s="750"/>
      <c r="C6" s="854" t="s">
        <v>2</v>
      </c>
      <c r="D6" s="854"/>
      <c r="E6" s="753" t="s">
        <v>15</v>
      </c>
      <c r="F6" s="753"/>
      <c r="G6" s="753" t="s">
        <v>16</v>
      </c>
      <c r="H6" s="753"/>
      <c r="I6" s="854" t="s">
        <v>2</v>
      </c>
      <c r="J6" s="854"/>
      <c r="K6" s="753" t="s">
        <v>15</v>
      </c>
      <c r="L6" s="753"/>
      <c r="M6" s="753" t="s">
        <v>16</v>
      </c>
      <c r="N6" s="753"/>
      <c r="O6" s="854" t="s">
        <v>2</v>
      </c>
      <c r="P6" s="854"/>
      <c r="Q6" s="753" t="s">
        <v>15</v>
      </c>
      <c r="R6" s="753"/>
      <c r="S6" s="753" t="s">
        <v>16</v>
      </c>
      <c r="T6" s="855"/>
      <c r="U6" s="139"/>
      <c r="V6" s="139"/>
      <c r="W6" s="139"/>
      <c r="X6" s="139"/>
      <c r="Y6" s="139"/>
      <c r="Z6" s="139"/>
    </row>
    <row r="7" spans="2:257" s="21" customFormat="1" ht="30" customHeight="1" x14ac:dyDescent="0.2">
      <c r="B7" s="388" t="s">
        <v>97</v>
      </c>
      <c r="C7" s="349">
        <v>0</v>
      </c>
      <c r="D7" s="350"/>
      <c r="E7" s="349">
        <v>0</v>
      </c>
      <c r="F7" s="350"/>
      <c r="G7" s="349">
        <v>0</v>
      </c>
      <c r="H7" s="4"/>
      <c r="I7" s="349">
        <v>9</v>
      </c>
      <c r="J7" s="267"/>
      <c r="K7" s="351">
        <v>1432</v>
      </c>
      <c r="L7" s="349"/>
      <c r="M7" s="351">
        <v>11356</v>
      </c>
      <c r="N7" s="351"/>
      <c r="O7" s="352">
        <f>SUM(C7+I7)</f>
        <v>9</v>
      </c>
      <c r="P7" s="352"/>
      <c r="Q7" s="352">
        <f>SUM(E7+K7)</f>
        <v>1432</v>
      </c>
      <c r="R7" s="352"/>
      <c r="S7" s="352">
        <f>SUM(G7+M7)</f>
        <v>11356</v>
      </c>
      <c r="T7" s="191"/>
    </row>
    <row r="8" spans="2:257" s="21" customFormat="1" ht="30" customHeight="1" x14ac:dyDescent="0.2">
      <c r="B8" s="388" t="s">
        <v>98</v>
      </c>
      <c r="C8" s="349">
        <v>8</v>
      </c>
      <c r="D8" s="350"/>
      <c r="E8" s="349">
        <v>13993</v>
      </c>
      <c r="F8" s="350"/>
      <c r="G8" s="349">
        <v>223888</v>
      </c>
      <c r="H8" s="4"/>
      <c r="I8" s="349">
        <v>5</v>
      </c>
      <c r="J8" s="267"/>
      <c r="K8" s="351">
        <v>246</v>
      </c>
      <c r="L8" s="349"/>
      <c r="M8" s="351">
        <v>3936</v>
      </c>
      <c r="N8" s="351"/>
      <c r="O8" s="352">
        <f t="shared" ref="O8:O14" si="0">SUM(C8+I8)</f>
        <v>13</v>
      </c>
      <c r="P8" s="352"/>
      <c r="Q8" s="352">
        <f t="shared" ref="Q8:Q14" si="1">SUM(E8+K8)</f>
        <v>14239</v>
      </c>
      <c r="R8" s="352"/>
      <c r="S8" s="352">
        <f t="shared" ref="S8:S14" si="2">SUM(G8+M8)</f>
        <v>227824</v>
      </c>
      <c r="T8" s="191"/>
    </row>
    <row r="9" spans="2:257" s="21" customFormat="1" ht="30" customHeight="1" x14ac:dyDescent="0.2">
      <c r="B9" s="388" t="s">
        <v>99</v>
      </c>
      <c r="C9" s="349">
        <v>4</v>
      </c>
      <c r="D9" s="350"/>
      <c r="E9" s="349">
        <v>185</v>
      </c>
      <c r="F9" s="350"/>
      <c r="G9" s="349">
        <v>4440</v>
      </c>
      <c r="H9" s="4"/>
      <c r="I9" s="349">
        <v>4</v>
      </c>
      <c r="J9" s="267"/>
      <c r="K9" s="351">
        <v>397</v>
      </c>
      <c r="L9" s="349"/>
      <c r="M9" s="351">
        <v>6000</v>
      </c>
      <c r="N9" s="351"/>
      <c r="O9" s="352">
        <f t="shared" si="0"/>
        <v>8</v>
      </c>
      <c r="P9" s="352"/>
      <c r="Q9" s="352">
        <f t="shared" si="1"/>
        <v>582</v>
      </c>
      <c r="R9" s="352"/>
      <c r="S9" s="352">
        <f t="shared" si="2"/>
        <v>10440</v>
      </c>
      <c r="T9" s="191"/>
    </row>
    <row r="10" spans="2:257" s="21" customFormat="1" ht="30" customHeight="1" x14ac:dyDescent="0.2">
      <c r="B10" s="388" t="s">
        <v>100</v>
      </c>
      <c r="C10" s="349">
        <v>1</v>
      </c>
      <c r="D10" s="350"/>
      <c r="E10" s="349">
        <v>3634</v>
      </c>
      <c r="F10" s="350"/>
      <c r="G10" s="349">
        <v>87216</v>
      </c>
      <c r="H10" s="4"/>
      <c r="I10" s="349">
        <v>7</v>
      </c>
      <c r="J10" s="267"/>
      <c r="K10" s="351">
        <v>754</v>
      </c>
      <c r="L10" s="349"/>
      <c r="M10" s="351">
        <v>38544</v>
      </c>
      <c r="N10" s="351"/>
      <c r="O10" s="352">
        <f t="shared" si="0"/>
        <v>8</v>
      </c>
      <c r="P10" s="352"/>
      <c r="Q10" s="352">
        <f t="shared" si="1"/>
        <v>4388</v>
      </c>
      <c r="R10" s="352"/>
      <c r="S10" s="352">
        <f t="shared" si="2"/>
        <v>125760</v>
      </c>
      <c r="T10" s="191"/>
    </row>
    <row r="11" spans="2:257" s="21" customFormat="1" ht="30" customHeight="1" x14ac:dyDescent="0.2">
      <c r="B11" s="388" t="s">
        <v>101</v>
      </c>
      <c r="C11" s="349">
        <v>10</v>
      </c>
      <c r="D11" s="350"/>
      <c r="E11" s="349">
        <v>18208</v>
      </c>
      <c r="F11" s="350"/>
      <c r="G11" s="349">
        <v>1297730</v>
      </c>
      <c r="I11" s="349">
        <v>3</v>
      </c>
      <c r="J11" s="267"/>
      <c r="K11" s="351">
        <v>399</v>
      </c>
      <c r="L11" s="349"/>
      <c r="M11" s="351">
        <v>36728</v>
      </c>
      <c r="N11" s="351"/>
      <c r="O11" s="352">
        <f t="shared" si="0"/>
        <v>13</v>
      </c>
      <c r="P11" s="352"/>
      <c r="Q11" s="352">
        <f t="shared" si="1"/>
        <v>18607</v>
      </c>
      <c r="R11" s="352"/>
      <c r="S11" s="352">
        <f t="shared" si="2"/>
        <v>1334458</v>
      </c>
      <c r="T11" s="191"/>
    </row>
    <row r="12" spans="2:257" s="21" customFormat="1" ht="30" customHeight="1" x14ac:dyDescent="0.2">
      <c r="B12" s="388" t="s">
        <v>166</v>
      </c>
      <c r="C12" s="349">
        <v>2</v>
      </c>
      <c r="D12" s="350"/>
      <c r="E12" s="349">
        <v>30708</v>
      </c>
      <c r="F12" s="350"/>
      <c r="G12" s="349">
        <v>4435616</v>
      </c>
      <c r="H12" s="353"/>
      <c r="I12" s="349">
        <v>2</v>
      </c>
      <c r="J12" s="267"/>
      <c r="K12" s="351">
        <v>448</v>
      </c>
      <c r="L12" s="349"/>
      <c r="M12" s="351">
        <v>62608</v>
      </c>
      <c r="N12" s="351"/>
      <c r="O12" s="352">
        <f t="shared" si="0"/>
        <v>4</v>
      </c>
      <c r="P12" s="352"/>
      <c r="Q12" s="352">
        <f t="shared" si="1"/>
        <v>31156</v>
      </c>
      <c r="R12" s="352"/>
      <c r="S12" s="352">
        <f t="shared" si="2"/>
        <v>4498224</v>
      </c>
      <c r="T12" s="191"/>
    </row>
    <row r="13" spans="2:257" s="21" customFormat="1" ht="30" customHeight="1" x14ac:dyDescent="0.2">
      <c r="B13" s="388" t="s">
        <v>167</v>
      </c>
      <c r="C13" s="349">
        <v>2</v>
      </c>
      <c r="D13" s="354"/>
      <c r="E13" s="349">
        <v>122</v>
      </c>
      <c r="F13" s="350"/>
      <c r="G13" s="349">
        <v>275392</v>
      </c>
      <c r="H13" s="4"/>
      <c r="I13" s="349">
        <v>0</v>
      </c>
      <c r="J13" s="267"/>
      <c r="K13" s="351">
        <v>0</v>
      </c>
      <c r="L13" s="349"/>
      <c r="M13" s="351">
        <v>28136</v>
      </c>
      <c r="N13" s="351"/>
      <c r="O13" s="352">
        <f t="shared" si="0"/>
        <v>2</v>
      </c>
      <c r="P13" s="352"/>
      <c r="Q13" s="352">
        <f t="shared" si="1"/>
        <v>122</v>
      </c>
      <c r="R13" s="352"/>
      <c r="S13" s="352">
        <f t="shared" si="2"/>
        <v>303528</v>
      </c>
      <c r="T13" s="191"/>
    </row>
    <row r="14" spans="2:257" s="21" customFormat="1" ht="30" customHeight="1" x14ac:dyDescent="0.2">
      <c r="B14" s="388" t="s">
        <v>168</v>
      </c>
      <c r="C14" s="349">
        <v>1</v>
      </c>
      <c r="D14" s="350"/>
      <c r="E14" s="349">
        <v>3840</v>
      </c>
      <c r="F14" s="350"/>
      <c r="G14" s="349">
        <v>1270144</v>
      </c>
      <c r="H14" s="355"/>
      <c r="I14" s="349">
        <v>0</v>
      </c>
      <c r="J14" s="267"/>
      <c r="K14" s="351">
        <v>0</v>
      </c>
      <c r="L14" s="349"/>
      <c r="M14" s="351">
        <v>0</v>
      </c>
      <c r="N14" s="355"/>
      <c r="O14" s="352">
        <f t="shared" si="0"/>
        <v>1</v>
      </c>
      <c r="P14" s="352"/>
      <c r="Q14" s="352">
        <f t="shared" si="1"/>
        <v>3840</v>
      </c>
      <c r="R14" s="352"/>
      <c r="S14" s="352">
        <f t="shared" si="2"/>
        <v>1270144</v>
      </c>
      <c r="T14" s="191"/>
    </row>
    <row r="15" spans="2:257" s="21" customFormat="1" ht="43.5" customHeight="1" x14ac:dyDescent="0.2">
      <c r="B15" s="481" t="s">
        <v>6</v>
      </c>
      <c r="C15" s="482">
        <f>SUM(C7:C14)</f>
        <v>28</v>
      </c>
      <c r="D15" s="482"/>
      <c r="E15" s="482">
        <f>SUM(E7:E14)</f>
        <v>70690</v>
      </c>
      <c r="F15" s="482"/>
      <c r="G15" s="482">
        <f>SUM(G7:G14)</f>
        <v>7594426</v>
      </c>
      <c r="H15" s="481"/>
      <c r="I15" s="482">
        <f>SUM(I7:I14)</f>
        <v>30</v>
      </c>
      <c r="J15" s="482"/>
      <c r="K15" s="482">
        <f>SUM(K7:K14)</f>
        <v>3676</v>
      </c>
      <c r="L15" s="482"/>
      <c r="M15" s="482">
        <f>SUM(M7:M14)</f>
        <v>187308</v>
      </c>
      <c r="N15" s="481"/>
      <c r="O15" s="482">
        <f>SUM(O7:O14)</f>
        <v>58</v>
      </c>
      <c r="P15" s="482"/>
      <c r="Q15" s="482">
        <f>SUM(Q7:Q14)</f>
        <v>74366</v>
      </c>
      <c r="R15" s="482"/>
      <c r="S15" s="482">
        <f>SUM(S7:S14)</f>
        <v>7781734</v>
      </c>
      <c r="T15" s="482"/>
      <c r="U15" s="4"/>
    </row>
    <row r="16" spans="2:257" ht="27.75" customHeight="1" x14ac:dyDescent="0.2">
      <c r="B16" s="5" t="s">
        <v>217</v>
      </c>
      <c r="C16" s="6"/>
      <c r="D16" s="6"/>
      <c r="E16" s="6"/>
      <c r="F16" s="6"/>
      <c r="G16" s="7"/>
      <c r="H16" s="6"/>
      <c r="I16" s="6"/>
      <c r="Y16" s="8"/>
      <c r="Z16" s="4"/>
      <c r="AA16" s="8"/>
      <c r="AB16" s="9"/>
      <c r="AC16" s="8"/>
      <c r="AD16" s="9"/>
    </row>
    <row r="17" spans="2:30" ht="33" customHeight="1" x14ac:dyDescent="0.2">
      <c r="B17" s="10" t="s">
        <v>257</v>
      </c>
      <c r="C17" s="11"/>
      <c r="D17" s="11"/>
      <c r="E17" s="11"/>
      <c r="F17" s="11"/>
      <c r="G17" s="11"/>
      <c r="H17" s="12"/>
      <c r="I17" s="12"/>
      <c r="J17" s="12"/>
      <c r="K17" s="12"/>
      <c r="Z17" s="13"/>
      <c r="AA17" s="14"/>
      <c r="AB17" s="13"/>
      <c r="AC17" s="14"/>
      <c r="AD17" s="15"/>
    </row>
    <row r="18" spans="2:30" ht="22.15" customHeight="1" x14ac:dyDescent="0.2">
      <c r="B18" s="16" t="s">
        <v>245</v>
      </c>
      <c r="D18" s="17"/>
      <c r="E18" s="18"/>
      <c r="F18" s="17"/>
      <c r="G18" s="19"/>
      <c r="H18" s="20"/>
      <c r="I18" s="21"/>
      <c r="J18" s="21"/>
    </row>
    <row r="19" spans="2:30" x14ac:dyDescent="0.2">
      <c r="B19" s="1" t="s">
        <v>344</v>
      </c>
    </row>
    <row r="21" spans="2:30" x14ac:dyDescent="0.2">
      <c r="B21" s="5"/>
    </row>
    <row r="22" spans="2:30" x14ac:dyDescent="0.2">
      <c r="B22" s="84"/>
    </row>
    <row r="23" spans="2:30" ht="25.15" customHeight="1" x14ac:dyDescent="0.2">
      <c r="B23" s="853"/>
      <c r="C23" s="853"/>
      <c r="D23" s="853"/>
      <c r="E23" s="853"/>
      <c r="F23" s="853"/>
      <c r="G23" s="853"/>
      <c r="H23" s="853"/>
      <c r="I23" s="853"/>
      <c r="J23" s="853"/>
      <c r="K23" s="853"/>
      <c r="L23" s="853"/>
      <c r="M23" s="853"/>
      <c r="N23" s="853"/>
      <c r="O23" s="853"/>
      <c r="P23" s="853"/>
      <c r="Q23" s="853"/>
      <c r="R23" s="853"/>
      <c r="S23" s="853"/>
      <c r="T23" s="853"/>
    </row>
    <row r="24" spans="2:30" ht="25.15" customHeight="1" x14ac:dyDescent="0.2">
      <c r="B24" s="853"/>
      <c r="C24" s="853"/>
      <c r="D24" s="853"/>
      <c r="E24" s="853"/>
      <c r="F24" s="853"/>
      <c r="G24" s="853"/>
      <c r="H24" s="853"/>
      <c r="I24" s="853"/>
      <c r="J24" s="853"/>
      <c r="K24" s="853"/>
      <c r="L24" s="853"/>
      <c r="M24" s="853"/>
      <c r="N24" s="853"/>
      <c r="O24" s="853"/>
      <c r="P24" s="853"/>
      <c r="Q24" s="853"/>
      <c r="R24" s="853"/>
      <c r="S24" s="853"/>
      <c r="T24" s="853"/>
    </row>
    <row r="25" spans="2:30" ht="25.15" customHeight="1" x14ac:dyDescent="0.2">
      <c r="B25" s="853"/>
      <c r="C25" s="853"/>
      <c r="D25" s="853"/>
      <c r="E25" s="853"/>
      <c r="F25" s="853"/>
      <c r="G25" s="853"/>
      <c r="H25" s="853"/>
      <c r="I25" s="853"/>
      <c r="J25" s="853"/>
      <c r="K25" s="853"/>
      <c r="L25" s="853"/>
      <c r="M25" s="853"/>
      <c r="N25" s="853"/>
      <c r="O25" s="853"/>
      <c r="P25" s="853"/>
      <c r="Q25" s="853"/>
      <c r="R25" s="853"/>
      <c r="S25" s="853"/>
      <c r="T25" s="853"/>
    </row>
  </sheetData>
  <mergeCells count="55">
    <mergeCell ref="B1:T1"/>
    <mergeCell ref="C6:D6"/>
    <mergeCell ref="I6:J6"/>
    <mergeCell ref="O6:P6"/>
    <mergeCell ref="O5:T5"/>
    <mergeCell ref="S6:T6"/>
    <mergeCell ref="E6:F6"/>
    <mergeCell ref="G6:H6"/>
    <mergeCell ref="I5:N5"/>
    <mergeCell ref="HO4:IA4"/>
    <mergeCell ref="IB4:IN4"/>
    <mergeCell ref="IO4:IW4"/>
    <mergeCell ref="B5:B6"/>
    <mergeCell ref="C5:H5"/>
    <mergeCell ref="K6:L6"/>
    <mergeCell ref="M6:N6"/>
    <mergeCell ref="Q6:R6"/>
    <mergeCell ref="FO4:GA4"/>
    <mergeCell ref="GB4:GN4"/>
    <mergeCell ref="IO3:IW3"/>
    <mergeCell ref="AB4:AN4"/>
    <mergeCell ref="AO4:BA4"/>
    <mergeCell ref="BB4:BN4"/>
    <mergeCell ref="BO4:CA4"/>
    <mergeCell ref="CB4:CN4"/>
    <mergeCell ref="CO4:DA4"/>
    <mergeCell ref="DB4:DN4"/>
    <mergeCell ref="GO3:HA3"/>
    <mergeCell ref="HB3:HN3"/>
    <mergeCell ref="GO4:HA4"/>
    <mergeCell ref="HB4:HN4"/>
    <mergeCell ref="DO4:EA4"/>
    <mergeCell ref="EB4:EN4"/>
    <mergeCell ref="EO4:FA4"/>
    <mergeCell ref="FB4:FN4"/>
    <mergeCell ref="IB3:IN3"/>
    <mergeCell ref="EO3:FA3"/>
    <mergeCell ref="FB3:FN3"/>
    <mergeCell ref="FO3:GA3"/>
    <mergeCell ref="GB3:GN3"/>
    <mergeCell ref="CO3:DA3"/>
    <mergeCell ref="DB3:DN3"/>
    <mergeCell ref="DO3:EA3"/>
    <mergeCell ref="EB3:EN3"/>
    <mergeCell ref="HO3:IA3"/>
    <mergeCell ref="AO3:BA3"/>
    <mergeCell ref="B4:T4"/>
    <mergeCell ref="BB3:BN3"/>
    <mergeCell ref="BO3:CA3"/>
    <mergeCell ref="CB3:CN3"/>
    <mergeCell ref="B23:T23"/>
    <mergeCell ref="B24:T24"/>
    <mergeCell ref="B25:T25"/>
    <mergeCell ref="AB3:AN3"/>
    <mergeCell ref="B3:T3"/>
  </mergeCells>
  <phoneticPr fontId="2" type="noConversion"/>
  <printOptions horizontalCentered="1" verticalCentered="1"/>
  <pageMargins left="0" right="0" top="0" bottom="0" header="0" footer="0"/>
  <pageSetup paperSize="9" scale="50"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B1:AS39"/>
  <sheetViews>
    <sheetView showGridLines="0" topLeftCell="A16" zoomScale="82" zoomScaleNormal="82" zoomScaleSheetLayoutView="83" workbookViewId="0">
      <selection activeCell="S21" sqref="S21"/>
    </sheetView>
  </sheetViews>
  <sheetFormatPr baseColWidth="10" defaultColWidth="11.42578125" defaultRowHeight="12.75" x14ac:dyDescent="0.2"/>
  <cols>
    <col min="1" max="1" width="11.42578125" style="1"/>
    <col min="2" max="2" width="17.28515625" style="1" customWidth="1"/>
    <col min="3" max="3" width="13.7109375" style="1" customWidth="1"/>
    <col min="4" max="4" width="10.7109375" style="1" customWidth="1"/>
    <col min="5" max="5" width="13.7109375" style="1" customWidth="1"/>
    <col min="6" max="6" width="8.7109375" style="1" customWidth="1"/>
    <col min="7" max="7" width="13.7109375" style="1" customWidth="1"/>
    <col min="8" max="8" width="8.7109375" style="1" customWidth="1"/>
    <col min="9" max="16384" width="11.42578125" style="1"/>
  </cols>
  <sheetData>
    <row r="1" spans="2:22" ht="24" customHeight="1" x14ac:dyDescent="0.2">
      <c r="B1" s="691" t="s">
        <v>113</v>
      </c>
      <c r="C1" s="691"/>
      <c r="D1" s="691"/>
      <c r="E1" s="691"/>
      <c r="F1" s="691"/>
      <c r="G1" s="691"/>
      <c r="H1" s="691"/>
      <c r="I1" s="73"/>
      <c r="J1" s="73"/>
      <c r="K1" s="73"/>
      <c r="L1" s="73"/>
      <c r="M1" s="73"/>
      <c r="N1" s="73"/>
      <c r="O1" s="73"/>
      <c r="Q1" s="139"/>
      <c r="R1" s="189"/>
      <c r="S1" s="139"/>
      <c r="T1" s="23"/>
      <c r="U1" s="139"/>
      <c r="V1" s="189"/>
    </row>
    <row r="2" spans="2:22" s="73" customFormat="1" ht="25.15" customHeight="1" x14ac:dyDescent="0.2">
      <c r="B2" s="73" t="s">
        <v>145</v>
      </c>
    </row>
    <row r="3" spans="2:22" s="73" customFormat="1" ht="34.5" customHeight="1" x14ac:dyDescent="0.2">
      <c r="B3" s="691" t="s">
        <v>147</v>
      </c>
      <c r="C3" s="691"/>
      <c r="D3" s="691"/>
      <c r="E3" s="691"/>
      <c r="F3" s="691"/>
      <c r="G3" s="691"/>
      <c r="H3" s="691"/>
    </row>
    <row r="4" spans="2:22" s="73" customFormat="1" ht="25.15" customHeight="1" x14ac:dyDescent="0.2">
      <c r="B4" s="691" t="s">
        <v>323</v>
      </c>
      <c r="C4" s="691"/>
      <c r="D4" s="691"/>
      <c r="E4" s="691"/>
      <c r="F4" s="691"/>
      <c r="G4" s="691"/>
      <c r="H4" s="691"/>
    </row>
    <row r="5" spans="2:22" s="73" customFormat="1" ht="25.15" customHeight="1" x14ac:dyDescent="0.2">
      <c r="B5" s="708" t="s">
        <v>1</v>
      </c>
      <c r="C5" s="720" t="s">
        <v>209</v>
      </c>
      <c r="D5" s="720"/>
      <c r="E5" s="720"/>
      <c r="F5" s="720"/>
      <c r="G5" s="708" t="s">
        <v>94</v>
      </c>
      <c r="H5" s="708"/>
    </row>
    <row r="6" spans="2:22" s="73" customFormat="1" ht="45.75" customHeight="1" x14ac:dyDescent="0.2">
      <c r="B6" s="708"/>
      <c r="C6" s="858" t="s">
        <v>14</v>
      </c>
      <c r="D6" s="858"/>
      <c r="E6" s="858" t="s">
        <v>13</v>
      </c>
      <c r="F6" s="858"/>
      <c r="G6" s="708"/>
      <c r="H6" s="708"/>
    </row>
    <row r="7" spans="2:22" ht="12" customHeight="1" x14ac:dyDescent="0.2">
      <c r="B7" s="483"/>
      <c r="C7" s="83"/>
      <c r="D7" s="263"/>
      <c r="E7" s="83"/>
      <c r="F7" s="263"/>
      <c r="G7" s="645"/>
      <c r="H7" s="646"/>
    </row>
    <row r="8" spans="2:22" ht="25.15" customHeight="1" x14ac:dyDescent="0.2">
      <c r="B8" s="484">
        <v>2000</v>
      </c>
      <c r="C8" s="83">
        <v>30</v>
      </c>
      <c r="D8" s="263"/>
      <c r="E8" s="83">
        <v>7</v>
      </c>
      <c r="F8" s="263"/>
      <c r="G8" s="647">
        <f t="shared" ref="G8:G14" si="0">SUM(C8:F8)</f>
        <v>37</v>
      </c>
      <c r="H8" s="646"/>
    </row>
    <row r="9" spans="2:22" ht="25.15" customHeight="1" x14ac:dyDescent="0.2">
      <c r="B9" s="484">
        <v>2001</v>
      </c>
      <c r="C9" s="83">
        <v>29</v>
      </c>
      <c r="D9" s="263"/>
      <c r="E9" s="83">
        <v>11</v>
      </c>
      <c r="F9" s="263"/>
      <c r="G9" s="647">
        <f t="shared" si="0"/>
        <v>40</v>
      </c>
      <c r="H9" s="646"/>
    </row>
    <row r="10" spans="2:22" ht="25.15" customHeight="1" x14ac:dyDescent="0.2">
      <c r="B10" s="484">
        <v>2002</v>
      </c>
      <c r="C10" s="83">
        <v>53</v>
      </c>
      <c r="D10" s="263"/>
      <c r="E10" s="83">
        <v>11</v>
      </c>
      <c r="F10" s="263"/>
      <c r="G10" s="647">
        <f t="shared" si="0"/>
        <v>64</v>
      </c>
      <c r="H10" s="646"/>
    </row>
    <row r="11" spans="2:22" ht="25.15" customHeight="1" x14ac:dyDescent="0.2">
      <c r="B11" s="484">
        <v>2003</v>
      </c>
      <c r="C11" s="83">
        <v>60</v>
      </c>
      <c r="D11" s="263"/>
      <c r="E11" s="83">
        <v>8</v>
      </c>
      <c r="F11" s="263"/>
      <c r="G11" s="647">
        <f t="shared" si="0"/>
        <v>68</v>
      </c>
      <c r="H11" s="646"/>
    </row>
    <row r="12" spans="2:22" ht="25.15" customHeight="1" x14ac:dyDescent="0.2">
      <c r="B12" s="484">
        <v>2004</v>
      </c>
      <c r="C12" s="83">
        <v>100</v>
      </c>
      <c r="D12" s="263"/>
      <c r="E12" s="83">
        <v>7</v>
      </c>
      <c r="F12" s="263"/>
      <c r="G12" s="647">
        <f t="shared" si="0"/>
        <v>107</v>
      </c>
      <c r="H12" s="646"/>
    </row>
    <row r="13" spans="2:22" ht="25.15" customHeight="1" x14ac:dyDescent="0.2">
      <c r="B13" s="484">
        <v>2005</v>
      </c>
      <c r="C13" s="83">
        <v>57</v>
      </c>
      <c r="D13" s="263"/>
      <c r="E13" s="83">
        <v>8</v>
      </c>
      <c r="F13" s="263"/>
      <c r="G13" s="647">
        <f t="shared" si="0"/>
        <v>65</v>
      </c>
      <c r="H13" s="646"/>
    </row>
    <row r="14" spans="2:22" ht="25.15" customHeight="1" x14ac:dyDescent="0.2">
      <c r="B14" s="484">
        <v>2006</v>
      </c>
      <c r="C14" s="83">
        <v>58</v>
      </c>
      <c r="D14" s="263"/>
      <c r="E14" s="83">
        <v>9</v>
      </c>
      <c r="F14" s="263"/>
      <c r="G14" s="647">
        <f t="shared" si="0"/>
        <v>67</v>
      </c>
      <c r="H14" s="646"/>
    </row>
    <row r="15" spans="2:22" ht="25.15" customHeight="1" x14ac:dyDescent="0.2">
      <c r="B15" s="484">
        <v>2007</v>
      </c>
      <c r="C15" s="83">
        <v>47</v>
      </c>
      <c r="D15" s="263"/>
      <c r="E15" s="83">
        <v>26</v>
      </c>
      <c r="F15" s="263"/>
      <c r="G15" s="647">
        <f t="shared" ref="G15:G21" si="1">SUM(C15:F15)</f>
        <v>73</v>
      </c>
      <c r="H15" s="646"/>
    </row>
    <row r="16" spans="2:22" ht="25.15" customHeight="1" x14ac:dyDescent="0.2">
      <c r="B16" s="484">
        <v>2008</v>
      </c>
      <c r="C16" s="83">
        <v>33</v>
      </c>
      <c r="D16" s="263"/>
      <c r="E16" s="83">
        <v>30</v>
      </c>
      <c r="F16" s="263"/>
      <c r="G16" s="647">
        <f t="shared" si="1"/>
        <v>63</v>
      </c>
      <c r="H16" s="646"/>
    </row>
    <row r="17" spans="2:8" ht="25.15" customHeight="1" x14ac:dyDescent="0.2">
      <c r="B17" s="484">
        <v>2009</v>
      </c>
      <c r="C17" s="83">
        <v>47</v>
      </c>
      <c r="D17" s="263"/>
      <c r="E17" s="83">
        <v>52</v>
      </c>
      <c r="F17" s="263"/>
      <c r="G17" s="647">
        <f t="shared" si="1"/>
        <v>99</v>
      </c>
      <c r="H17" s="646"/>
    </row>
    <row r="18" spans="2:8" ht="25.15" customHeight="1" x14ac:dyDescent="0.2">
      <c r="B18" s="484">
        <v>2010</v>
      </c>
      <c r="C18" s="1">
        <v>27</v>
      </c>
      <c r="E18" s="1">
        <v>56</v>
      </c>
      <c r="G18" s="648">
        <f t="shared" si="1"/>
        <v>83</v>
      </c>
      <c r="H18" s="646"/>
    </row>
    <row r="19" spans="2:8" ht="25.15" customHeight="1" x14ac:dyDescent="0.2">
      <c r="B19" s="484">
        <v>2011</v>
      </c>
      <c r="C19" s="1">
        <v>38</v>
      </c>
      <c r="E19" s="1">
        <v>46</v>
      </c>
      <c r="G19" s="648">
        <f t="shared" si="1"/>
        <v>84</v>
      </c>
      <c r="H19" s="646"/>
    </row>
    <row r="20" spans="2:8" ht="25.15" customHeight="1" x14ac:dyDescent="0.2">
      <c r="B20" s="484">
        <v>2012</v>
      </c>
      <c r="C20" s="1">
        <v>48</v>
      </c>
      <c r="E20" s="1">
        <v>41</v>
      </c>
      <c r="G20" s="648">
        <f>SUM(C20:F20)</f>
        <v>89</v>
      </c>
      <c r="H20" s="646"/>
    </row>
    <row r="21" spans="2:8" ht="25.15" customHeight="1" x14ac:dyDescent="0.2">
      <c r="B21" s="484">
        <v>2013</v>
      </c>
      <c r="C21" s="1">
        <v>36</v>
      </c>
      <c r="E21" s="1">
        <v>58</v>
      </c>
      <c r="G21" s="648">
        <f t="shared" si="1"/>
        <v>94</v>
      </c>
      <c r="H21" s="646"/>
    </row>
    <row r="22" spans="2:8" ht="25.15" customHeight="1" x14ac:dyDescent="0.2">
      <c r="B22" s="484">
        <v>2014</v>
      </c>
      <c r="C22" s="83">
        <v>44</v>
      </c>
      <c r="D22" s="263"/>
      <c r="E22" s="83">
        <v>51</v>
      </c>
      <c r="F22" s="263"/>
      <c r="G22" s="647">
        <f t="shared" ref="G22:G26" si="2">SUM(C22:F22)</f>
        <v>95</v>
      </c>
      <c r="H22" s="646"/>
    </row>
    <row r="23" spans="2:8" ht="25.15" customHeight="1" x14ac:dyDescent="0.2">
      <c r="B23" s="484">
        <v>2015</v>
      </c>
      <c r="C23" s="83">
        <v>23</v>
      </c>
      <c r="D23" s="263"/>
      <c r="E23" s="83">
        <v>24</v>
      </c>
      <c r="F23" s="263"/>
      <c r="G23" s="647">
        <f t="shared" si="2"/>
        <v>47</v>
      </c>
      <c r="H23" s="646"/>
    </row>
    <row r="24" spans="2:8" ht="25.15" customHeight="1" x14ac:dyDescent="0.2">
      <c r="B24" s="484">
        <v>2016</v>
      </c>
      <c r="C24" s="83">
        <v>20</v>
      </c>
      <c r="D24" s="263"/>
      <c r="E24" s="83">
        <v>21</v>
      </c>
      <c r="F24" s="263"/>
      <c r="G24" s="647">
        <f t="shared" si="2"/>
        <v>41</v>
      </c>
      <c r="H24" s="646"/>
    </row>
    <row r="25" spans="2:8" ht="25.15" customHeight="1" x14ac:dyDescent="0.2">
      <c r="B25" s="484">
        <v>2017</v>
      </c>
      <c r="C25" s="83">
        <v>18</v>
      </c>
      <c r="D25" s="263"/>
      <c r="E25" s="83">
        <v>27</v>
      </c>
      <c r="F25" s="263"/>
      <c r="G25" s="647">
        <f t="shared" si="2"/>
        <v>45</v>
      </c>
      <c r="H25" s="646"/>
    </row>
    <row r="26" spans="2:8" ht="25.15" customHeight="1" x14ac:dyDescent="0.2">
      <c r="B26" s="484">
        <v>2018</v>
      </c>
      <c r="C26" s="83">
        <v>24</v>
      </c>
      <c r="D26" s="263"/>
      <c r="E26" s="83">
        <v>30</v>
      </c>
      <c r="F26" s="263"/>
      <c r="G26" s="647">
        <f t="shared" si="2"/>
        <v>54</v>
      </c>
      <c r="H26" s="646"/>
    </row>
    <row r="27" spans="2:8" ht="25.15" customHeight="1" x14ac:dyDescent="0.2">
      <c r="B27" s="484">
        <v>2019</v>
      </c>
      <c r="C27" s="83">
        <v>36</v>
      </c>
      <c r="D27" s="263"/>
      <c r="E27" s="83">
        <v>31</v>
      </c>
      <c r="F27" s="263"/>
      <c r="G27" s="647">
        <f t="shared" ref="G27:G31" si="3">SUM(C27:F27)</f>
        <v>67</v>
      </c>
      <c r="H27" s="646"/>
    </row>
    <row r="28" spans="2:8" ht="25.15" customHeight="1" x14ac:dyDescent="0.2">
      <c r="B28" s="484">
        <v>2020</v>
      </c>
      <c r="C28" s="83">
        <v>15</v>
      </c>
      <c r="D28" s="263"/>
      <c r="E28" s="83">
        <v>8</v>
      </c>
      <c r="F28" s="263"/>
      <c r="G28" s="647">
        <f t="shared" si="3"/>
        <v>23</v>
      </c>
      <c r="H28" s="646"/>
    </row>
    <row r="29" spans="2:8" ht="25.15" customHeight="1" x14ac:dyDescent="0.2">
      <c r="B29" s="484">
        <v>2021</v>
      </c>
      <c r="C29" s="83">
        <v>12</v>
      </c>
      <c r="D29" s="263"/>
      <c r="E29" s="83">
        <v>26</v>
      </c>
      <c r="F29" s="263"/>
      <c r="G29" s="647">
        <f t="shared" si="3"/>
        <v>38</v>
      </c>
      <c r="H29" s="646"/>
    </row>
    <row r="30" spans="2:8" ht="25.15" customHeight="1" x14ac:dyDescent="0.2">
      <c r="B30" s="484">
        <v>2022</v>
      </c>
      <c r="C30" s="83">
        <v>11</v>
      </c>
      <c r="D30" s="263"/>
      <c r="E30" s="83">
        <v>30</v>
      </c>
      <c r="F30" s="263"/>
      <c r="G30" s="647">
        <f t="shared" si="3"/>
        <v>41</v>
      </c>
      <c r="H30" s="646"/>
    </row>
    <row r="31" spans="2:8" ht="25.15" customHeight="1" x14ac:dyDescent="0.2">
      <c r="B31" s="484">
        <v>2023</v>
      </c>
      <c r="C31" s="83">
        <v>27</v>
      </c>
      <c r="D31" s="263"/>
      <c r="E31" s="83">
        <v>28</v>
      </c>
      <c r="F31" s="263"/>
      <c r="G31" s="647">
        <f t="shared" si="3"/>
        <v>55</v>
      </c>
      <c r="H31" s="646"/>
    </row>
    <row r="32" spans="2:8" ht="25.15" customHeight="1" x14ac:dyDescent="0.2">
      <c r="B32" s="484">
        <v>2024</v>
      </c>
      <c r="C32" s="83">
        <v>28</v>
      </c>
      <c r="D32" s="263"/>
      <c r="E32" s="83">
        <v>35</v>
      </c>
      <c r="F32" s="263"/>
      <c r="G32" s="647">
        <f>SUM(C32:F32)</f>
        <v>63</v>
      </c>
      <c r="H32" s="646"/>
    </row>
    <row r="33" spans="2:45" ht="25.15" customHeight="1" x14ac:dyDescent="0.2">
      <c r="B33" s="484">
        <v>2024</v>
      </c>
      <c r="C33" s="83">
        <v>25</v>
      </c>
      <c r="D33" s="263"/>
      <c r="E33" s="83">
        <v>33</v>
      </c>
      <c r="F33" s="263"/>
      <c r="G33" s="647">
        <f>SUM(C33:F33)</f>
        <v>58</v>
      </c>
      <c r="H33" s="646"/>
    </row>
    <row r="34" spans="2:45" ht="9" customHeight="1" x14ac:dyDescent="0.2">
      <c r="B34" s="409"/>
      <c r="C34" s="116"/>
      <c r="D34" s="262"/>
      <c r="E34" s="116"/>
      <c r="F34" s="262"/>
      <c r="G34" s="647"/>
      <c r="H34" s="649"/>
    </row>
    <row r="35" spans="2:45" ht="21" customHeight="1" x14ac:dyDescent="0.2">
      <c r="B35" s="5" t="s">
        <v>217</v>
      </c>
      <c r="C35" s="6"/>
      <c r="D35" s="6"/>
      <c r="E35" s="6"/>
      <c r="F35" s="6"/>
      <c r="G35" s="7"/>
      <c r="H35" s="6"/>
      <c r="I35" s="6"/>
      <c r="Y35" s="8"/>
      <c r="Z35" s="4"/>
      <c r="AA35" s="8"/>
      <c r="AB35" s="9"/>
      <c r="AC35" s="8"/>
      <c r="AD35" s="9"/>
    </row>
    <row r="36" spans="2:45" ht="23.25" customHeight="1" x14ac:dyDescent="0.2">
      <c r="B36" s="857" t="s">
        <v>261</v>
      </c>
      <c r="C36" s="857"/>
      <c r="D36" s="857"/>
      <c r="E36" s="857"/>
      <c r="F36" s="857"/>
      <c r="G36" s="857"/>
      <c r="H36" s="857"/>
      <c r="I36" s="12"/>
      <c r="J36" s="12"/>
      <c r="K36" s="12"/>
      <c r="Z36" s="13"/>
      <c r="AA36" s="14"/>
      <c r="AB36" s="13"/>
      <c r="AC36" s="14"/>
      <c r="AD36" s="15"/>
    </row>
    <row r="37" spans="2:45" ht="21.75" customHeight="1" x14ac:dyDescent="0.2">
      <c r="B37" s="856" t="s">
        <v>262</v>
      </c>
      <c r="C37" s="856"/>
      <c r="D37" s="856"/>
      <c r="E37" s="856"/>
      <c r="F37" s="856"/>
      <c r="G37" s="856"/>
      <c r="H37" s="856"/>
      <c r="I37" s="12"/>
      <c r="J37" s="12"/>
      <c r="K37" s="12"/>
      <c r="Z37" s="13"/>
      <c r="AA37" s="14"/>
      <c r="AB37" s="13"/>
      <c r="AC37" s="14"/>
      <c r="AD37" s="15"/>
    </row>
    <row r="38" spans="2:45" ht="16.899999999999999" customHeight="1" x14ac:dyDescent="0.2">
      <c r="B38" s="16" t="s">
        <v>245</v>
      </c>
      <c r="D38" s="17"/>
      <c r="E38" s="18"/>
      <c r="F38" s="17"/>
      <c r="G38" s="19"/>
      <c r="H38" s="20"/>
      <c r="I38" s="21"/>
      <c r="J38" s="21"/>
    </row>
    <row r="39" spans="2:45" s="38" customFormat="1" ht="52.9" customHeight="1" x14ac:dyDescent="0.2">
      <c r="B39" s="697" t="s">
        <v>215</v>
      </c>
      <c r="C39" s="697"/>
      <c r="D39" s="697"/>
      <c r="E39" s="697"/>
      <c r="F39" s="697"/>
      <c r="G39" s="697"/>
      <c r="H39" s="697"/>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row>
  </sheetData>
  <mergeCells count="11">
    <mergeCell ref="B39:H39"/>
    <mergeCell ref="B37:H37"/>
    <mergeCell ref="B36:H36"/>
    <mergeCell ref="B1:H1"/>
    <mergeCell ref="B3:H3"/>
    <mergeCell ref="B4:H4"/>
    <mergeCell ref="B5:B6"/>
    <mergeCell ref="C5:F5"/>
    <mergeCell ref="G5:H6"/>
    <mergeCell ref="C6:D6"/>
    <mergeCell ref="E6:F6"/>
  </mergeCells>
  <phoneticPr fontId="2" type="noConversion"/>
  <printOptions horizontalCentered="1" verticalCentered="1"/>
  <pageMargins left="0" right="0" top="0" bottom="0" header="0" footer="0"/>
  <pageSetup paperSize="9" scale="70" orientation="portrait" r:id="rId1"/>
  <headerFooter alignWithMargins="0"/>
  <ignoredErrors>
    <ignoredError sqref="G8:G31"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B1:AS39"/>
  <sheetViews>
    <sheetView showGridLines="0" topLeftCell="A7" zoomScale="86" zoomScaleNormal="86" workbookViewId="0">
      <selection activeCell="B5" sqref="B5:B7"/>
    </sheetView>
  </sheetViews>
  <sheetFormatPr baseColWidth="10" defaultColWidth="11.42578125" defaultRowHeight="12.75" x14ac:dyDescent="0.2"/>
  <cols>
    <col min="1" max="1" width="6.42578125" style="38" customWidth="1"/>
    <col min="2" max="2" width="16" style="38" customWidth="1"/>
    <col min="3" max="3" width="14.42578125" style="38" customWidth="1"/>
    <col min="4" max="4" width="3.7109375" style="38" customWidth="1"/>
    <col min="5" max="5" width="10.7109375" style="38" customWidth="1"/>
    <col min="6" max="6" width="3.7109375" style="38" customWidth="1"/>
    <col min="7" max="7" width="12" style="38" customWidth="1"/>
    <col min="8" max="8" width="5.7109375" style="38" customWidth="1"/>
    <col min="9" max="9" width="15.28515625" style="38" customWidth="1"/>
    <col min="10" max="10" width="3.7109375" style="38" customWidth="1"/>
    <col min="11" max="11" width="11.42578125" style="38" customWidth="1"/>
    <col min="12" max="12" width="3.7109375" style="38" customWidth="1"/>
    <col min="13" max="13" width="16.42578125" style="38" customWidth="1"/>
    <col min="14" max="14" width="5.7109375" style="38" customWidth="1"/>
    <col min="15" max="15" width="15.85546875" style="38" customWidth="1"/>
    <col min="16" max="16" width="3.5703125" style="38" customWidth="1"/>
    <col min="17" max="17" width="13.42578125" style="38" customWidth="1"/>
    <col min="18" max="18" width="5.7109375" style="38" customWidth="1"/>
    <col min="19" max="19" width="19.28515625" style="38" customWidth="1"/>
    <col min="20" max="20" width="5.7109375" style="38" customWidth="1"/>
    <col min="21" max="21" width="6.42578125" style="38" customWidth="1"/>
    <col min="22" max="16384" width="11.42578125" style="38"/>
  </cols>
  <sheetData>
    <row r="1" spans="2:20" s="1" customFormat="1" ht="30" customHeight="1" x14ac:dyDescent="0.2">
      <c r="B1" s="698" t="s">
        <v>116</v>
      </c>
      <c r="C1" s="698"/>
      <c r="D1" s="698"/>
      <c r="E1" s="698"/>
      <c r="F1" s="698"/>
      <c r="G1" s="698"/>
      <c r="H1" s="698"/>
      <c r="I1" s="698"/>
      <c r="J1" s="698"/>
      <c r="K1" s="698"/>
      <c r="L1" s="698"/>
      <c r="M1" s="698"/>
      <c r="N1" s="698"/>
      <c r="O1" s="698"/>
      <c r="P1" s="698"/>
      <c r="Q1" s="698"/>
      <c r="R1" s="698"/>
      <c r="S1" s="698"/>
      <c r="T1" s="698"/>
    </row>
    <row r="2" spans="2:20" s="1" customFormat="1" ht="30" customHeight="1" x14ac:dyDescent="0.2">
      <c r="B2" s="31" t="s">
        <v>145</v>
      </c>
      <c r="C2" s="31"/>
      <c r="D2" s="31"/>
      <c r="E2" s="31"/>
      <c r="F2" s="31"/>
      <c r="G2" s="31"/>
      <c r="H2" s="31"/>
      <c r="I2" s="31"/>
      <c r="J2" s="31"/>
      <c r="K2" s="31"/>
      <c r="L2" s="31"/>
      <c r="M2" s="31"/>
      <c r="N2" s="31"/>
      <c r="O2" s="31"/>
      <c r="P2" s="31"/>
      <c r="Q2" s="31"/>
      <c r="R2" s="31"/>
      <c r="S2" s="31"/>
      <c r="T2" s="3"/>
    </row>
    <row r="3" spans="2:20" s="1" customFormat="1" ht="58.5" customHeight="1" x14ac:dyDescent="0.2">
      <c r="B3" s="704" t="s">
        <v>234</v>
      </c>
      <c r="C3" s="704"/>
      <c r="D3" s="704"/>
      <c r="E3" s="704"/>
      <c r="F3" s="704"/>
      <c r="G3" s="704"/>
      <c r="H3" s="704"/>
      <c r="I3" s="704"/>
      <c r="J3" s="704"/>
      <c r="K3" s="704"/>
      <c r="L3" s="704"/>
      <c r="M3" s="704"/>
      <c r="N3" s="704"/>
      <c r="O3" s="704"/>
      <c r="P3" s="704"/>
      <c r="Q3" s="704"/>
      <c r="R3" s="704"/>
      <c r="S3" s="704"/>
      <c r="T3" s="704"/>
    </row>
    <row r="4" spans="2:20" s="1" customFormat="1" ht="35.25" customHeight="1" x14ac:dyDescent="0.2">
      <c r="B4" s="698" t="s">
        <v>323</v>
      </c>
      <c r="C4" s="698"/>
      <c r="D4" s="698"/>
      <c r="E4" s="698"/>
      <c r="F4" s="698"/>
      <c r="G4" s="698"/>
      <c r="H4" s="698"/>
      <c r="I4" s="698"/>
      <c r="J4" s="698"/>
      <c r="K4" s="698"/>
      <c r="L4" s="698"/>
      <c r="M4" s="698"/>
      <c r="N4" s="698"/>
      <c r="O4" s="698"/>
      <c r="P4" s="698"/>
      <c r="Q4" s="698"/>
      <c r="R4" s="698"/>
      <c r="S4" s="698"/>
      <c r="T4" s="698"/>
    </row>
    <row r="5" spans="2:20" ht="30" customHeight="1" x14ac:dyDescent="0.2">
      <c r="B5" s="791" t="s">
        <v>1</v>
      </c>
      <c r="C5" s="861" t="s">
        <v>2</v>
      </c>
      <c r="D5" s="861"/>
      <c r="E5" s="861"/>
      <c r="F5" s="861"/>
      <c r="G5" s="861"/>
      <c r="H5" s="861"/>
      <c r="I5" s="362" t="s">
        <v>11</v>
      </c>
      <c r="J5" s="362"/>
      <c r="K5" s="362"/>
      <c r="L5" s="362"/>
      <c r="M5" s="362"/>
      <c r="N5" s="362"/>
      <c r="O5" s="861" t="s">
        <v>96</v>
      </c>
      <c r="P5" s="861"/>
      <c r="Q5" s="861"/>
      <c r="R5" s="861"/>
      <c r="S5" s="861"/>
      <c r="T5" s="861"/>
    </row>
    <row r="6" spans="2:20" ht="18" customHeight="1" x14ac:dyDescent="0.2">
      <c r="B6" s="791"/>
      <c r="C6" s="859" t="s">
        <v>148</v>
      </c>
      <c r="D6" s="859"/>
      <c r="E6" s="859" t="s">
        <v>148</v>
      </c>
      <c r="F6" s="859"/>
      <c r="G6" s="795" t="s">
        <v>6</v>
      </c>
      <c r="H6" s="795"/>
      <c r="I6" s="859" t="s">
        <v>148</v>
      </c>
      <c r="J6" s="859"/>
      <c r="K6" s="859" t="s">
        <v>148</v>
      </c>
      <c r="L6" s="859"/>
      <c r="M6" s="795" t="s">
        <v>6</v>
      </c>
      <c r="N6" s="795"/>
      <c r="O6" s="859" t="s">
        <v>148</v>
      </c>
      <c r="P6" s="859"/>
      <c r="Q6" s="859" t="s">
        <v>148</v>
      </c>
      <c r="R6" s="859"/>
      <c r="S6" s="795" t="s">
        <v>6</v>
      </c>
      <c r="T6" s="795"/>
    </row>
    <row r="7" spans="2:20" ht="25.15" customHeight="1" x14ac:dyDescent="0.2">
      <c r="B7" s="791"/>
      <c r="C7" s="694" t="s">
        <v>14</v>
      </c>
      <c r="D7" s="694"/>
      <c r="E7" s="694" t="s">
        <v>13</v>
      </c>
      <c r="F7" s="694"/>
      <c r="G7" s="860"/>
      <c r="H7" s="860"/>
      <c r="I7" s="694" t="s">
        <v>14</v>
      </c>
      <c r="J7" s="694"/>
      <c r="K7" s="694" t="s">
        <v>13</v>
      </c>
      <c r="L7" s="694"/>
      <c r="M7" s="860"/>
      <c r="N7" s="860"/>
      <c r="O7" s="694" t="s">
        <v>14</v>
      </c>
      <c r="P7" s="694"/>
      <c r="Q7" s="694" t="s">
        <v>13</v>
      </c>
      <c r="R7" s="694"/>
      <c r="S7" s="860"/>
      <c r="T7" s="860"/>
    </row>
    <row r="8" spans="2:20" s="21" customFormat="1" x14ac:dyDescent="0.2">
      <c r="B8" s="375"/>
      <c r="C8" s="267"/>
      <c r="D8" s="304"/>
      <c r="E8" s="267"/>
      <c r="F8" s="304"/>
      <c r="G8" s="356"/>
      <c r="H8" s="357"/>
      <c r="I8" s="267"/>
      <c r="J8" s="304"/>
      <c r="K8" s="267"/>
      <c r="L8" s="305"/>
      <c r="M8" s="356"/>
      <c r="N8" s="358"/>
      <c r="O8" s="67"/>
      <c r="P8" s="305"/>
      <c r="Q8" s="67"/>
      <c r="R8" s="305"/>
      <c r="S8" s="356"/>
      <c r="T8" s="358"/>
    </row>
    <row r="9" spans="2:20" s="21" customFormat="1" ht="25.15" customHeight="1" x14ac:dyDescent="0.2">
      <c r="B9" s="388">
        <v>2000</v>
      </c>
      <c r="C9" s="267">
        <v>30</v>
      </c>
      <c r="D9" s="304"/>
      <c r="E9" s="267">
        <v>7</v>
      </c>
      <c r="F9" s="304"/>
      <c r="G9" s="356">
        <f>SUM(C9+E9)</f>
        <v>37</v>
      </c>
      <c r="H9" s="357"/>
      <c r="I9" s="267">
        <v>4366</v>
      </c>
      <c r="J9" s="304"/>
      <c r="K9" s="267">
        <v>914</v>
      </c>
      <c r="L9" s="305"/>
      <c r="M9" s="356">
        <f>SUM(I9+K9)</f>
        <v>5280</v>
      </c>
      <c r="N9" s="358"/>
      <c r="O9" s="307">
        <v>55427</v>
      </c>
      <c r="P9" s="305"/>
      <c r="Q9" s="307">
        <v>126264</v>
      </c>
      <c r="R9" s="305"/>
      <c r="S9" s="356">
        <f>SUM(O9+Q9)</f>
        <v>181691</v>
      </c>
      <c r="T9" s="358"/>
    </row>
    <row r="10" spans="2:20" s="21" customFormat="1" ht="25.15" customHeight="1" x14ac:dyDescent="0.2">
      <c r="B10" s="388">
        <v>2001</v>
      </c>
      <c r="C10" s="267">
        <v>29</v>
      </c>
      <c r="D10" s="304"/>
      <c r="E10" s="267">
        <v>11</v>
      </c>
      <c r="F10" s="304"/>
      <c r="G10" s="356">
        <f>SUM(C10+E10)</f>
        <v>40</v>
      </c>
      <c r="H10" s="357"/>
      <c r="I10" s="267">
        <v>8611</v>
      </c>
      <c r="J10" s="304"/>
      <c r="K10" s="267">
        <v>2439</v>
      </c>
      <c r="L10" s="305"/>
      <c r="M10" s="356">
        <f>SUM(I10+K10)</f>
        <v>11050</v>
      </c>
      <c r="N10" s="358"/>
      <c r="O10" s="307">
        <v>195338</v>
      </c>
      <c r="P10" s="305"/>
      <c r="Q10" s="307">
        <v>293592</v>
      </c>
      <c r="R10" s="305"/>
      <c r="S10" s="356">
        <f>SUM(O10+Q10)</f>
        <v>488930</v>
      </c>
      <c r="T10" s="358"/>
    </row>
    <row r="11" spans="2:20" s="21" customFormat="1" ht="25.15" customHeight="1" x14ac:dyDescent="0.2">
      <c r="B11" s="388">
        <v>2002</v>
      </c>
      <c r="C11" s="267">
        <v>53</v>
      </c>
      <c r="D11" s="304"/>
      <c r="E11" s="267">
        <v>11</v>
      </c>
      <c r="F11" s="304"/>
      <c r="G11" s="356">
        <f>SUM(C11+E11)</f>
        <v>64</v>
      </c>
      <c r="H11" s="357"/>
      <c r="I11" s="267">
        <v>17912</v>
      </c>
      <c r="J11" s="304"/>
      <c r="K11" s="267">
        <v>5013</v>
      </c>
      <c r="L11" s="305"/>
      <c r="M11" s="356">
        <f>SUM(I11+K11)</f>
        <v>22925</v>
      </c>
      <c r="N11" s="358"/>
      <c r="O11" s="307">
        <v>331736</v>
      </c>
      <c r="P11" s="305"/>
      <c r="Q11" s="307">
        <v>580912</v>
      </c>
      <c r="R11" s="305"/>
      <c r="S11" s="356">
        <f>SUM(O11+Q11)</f>
        <v>912648</v>
      </c>
      <c r="T11" s="358"/>
    </row>
    <row r="12" spans="2:20" s="21" customFormat="1" ht="25.15" customHeight="1" x14ac:dyDescent="0.2">
      <c r="B12" s="388">
        <v>2003</v>
      </c>
      <c r="C12" s="267">
        <v>60</v>
      </c>
      <c r="D12" s="304"/>
      <c r="E12" s="267">
        <v>8</v>
      </c>
      <c r="F12" s="304"/>
      <c r="G12" s="356">
        <f>SUM(C12+E12)</f>
        <v>68</v>
      </c>
      <c r="H12" s="357"/>
      <c r="I12" s="267">
        <v>29458</v>
      </c>
      <c r="J12" s="304"/>
      <c r="K12" s="267">
        <v>7865</v>
      </c>
      <c r="L12" s="305"/>
      <c r="M12" s="356">
        <f>SUM(I12+K12)</f>
        <v>37323</v>
      </c>
      <c r="N12" s="358"/>
      <c r="O12" s="307">
        <v>615466</v>
      </c>
      <c r="P12" s="305"/>
      <c r="Q12" s="307">
        <v>265896</v>
      </c>
      <c r="R12" s="305"/>
      <c r="S12" s="356">
        <f t="shared" ref="S12:S34" si="0">SUM(O12+Q12)</f>
        <v>881362</v>
      </c>
      <c r="T12" s="358"/>
    </row>
    <row r="13" spans="2:20" s="21" customFormat="1" ht="25.15" customHeight="1" x14ac:dyDescent="0.2">
      <c r="B13" s="388">
        <v>2004</v>
      </c>
      <c r="C13" s="267">
        <v>100</v>
      </c>
      <c r="D13" s="308"/>
      <c r="E13" s="267">
        <v>7</v>
      </c>
      <c r="F13" s="304"/>
      <c r="G13" s="356">
        <f>SUM(E13+C13)</f>
        <v>107</v>
      </c>
      <c r="H13" s="359"/>
      <c r="I13" s="267">
        <v>27093</v>
      </c>
      <c r="J13" s="304"/>
      <c r="K13" s="267">
        <v>2180</v>
      </c>
      <c r="L13" s="305"/>
      <c r="M13" s="356">
        <f t="shared" ref="M13:M34" si="1">SUM(I13+K13)</f>
        <v>29273</v>
      </c>
      <c r="N13" s="358"/>
      <c r="O13" s="307">
        <v>374136</v>
      </c>
      <c r="P13" s="305"/>
      <c r="Q13" s="307">
        <v>208192</v>
      </c>
      <c r="R13" s="360"/>
      <c r="S13" s="356">
        <f t="shared" si="0"/>
        <v>582328</v>
      </c>
      <c r="T13" s="358"/>
    </row>
    <row r="14" spans="2:20" s="21" customFormat="1" ht="25.15" customHeight="1" x14ac:dyDescent="0.2">
      <c r="B14" s="388">
        <v>2005</v>
      </c>
      <c r="C14" s="267">
        <v>57</v>
      </c>
      <c r="D14" s="308"/>
      <c r="E14" s="267">
        <v>8</v>
      </c>
      <c r="F14" s="267"/>
      <c r="G14" s="356">
        <f t="shared" ref="G14:G34" si="2">SUM(C14+E14)</f>
        <v>65</v>
      </c>
      <c r="H14" s="359"/>
      <c r="I14" s="267">
        <v>14161</v>
      </c>
      <c r="J14" s="304"/>
      <c r="K14" s="267">
        <v>4861</v>
      </c>
      <c r="L14" s="267"/>
      <c r="M14" s="356">
        <f t="shared" si="1"/>
        <v>19022</v>
      </c>
      <c r="N14" s="361"/>
      <c r="O14" s="307">
        <v>228964</v>
      </c>
      <c r="P14" s="305"/>
      <c r="Q14" s="307">
        <v>249774</v>
      </c>
      <c r="R14" s="305"/>
      <c r="S14" s="356">
        <f t="shared" si="0"/>
        <v>478738</v>
      </c>
      <c r="T14" s="361"/>
    </row>
    <row r="15" spans="2:20" s="21" customFormat="1" ht="25.15" customHeight="1" x14ac:dyDescent="0.2">
      <c r="B15" s="388">
        <v>2006</v>
      </c>
      <c r="C15" s="267">
        <v>58</v>
      </c>
      <c r="D15" s="304"/>
      <c r="E15" s="267">
        <v>9</v>
      </c>
      <c r="F15" s="304"/>
      <c r="G15" s="356">
        <f t="shared" si="2"/>
        <v>67</v>
      </c>
      <c r="H15" s="357"/>
      <c r="I15" s="267">
        <v>15360</v>
      </c>
      <c r="J15" s="304"/>
      <c r="K15" s="267">
        <v>4205</v>
      </c>
      <c r="L15" s="305"/>
      <c r="M15" s="356">
        <f t="shared" si="1"/>
        <v>19565</v>
      </c>
      <c r="N15" s="358"/>
      <c r="O15" s="307">
        <v>177560</v>
      </c>
      <c r="P15" s="305"/>
      <c r="Q15" s="307">
        <v>269024</v>
      </c>
      <c r="R15" s="305"/>
      <c r="S15" s="356">
        <f t="shared" si="0"/>
        <v>446584</v>
      </c>
      <c r="T15" s="358"/>
    </row>
    <row r="16" spans="2:20" s="21" customFormat="1" ht="25.15" customHeight="1" x14ac:dyDescent="0.2">
      <c r="B16" s="388">
        <v>2007</v>
      </c>
      <c r="C16" s="267">
        <v>47</v>
      </c>
      <c r="D16" s="304"/>
      <c r="E16" s="267">
        <v>26</v>
      </c>
      <c r="F16" s="304"/>
      <c r="G16" s="356">
        <f t="shared" si="2"/>
        <v>73</v>
      </c>
      <c r="H16" s="357"/>
      <c r="I16" s="267">
        <v>13754</v>
      </c>
      <c r="J16" s="304"/>
      <c r="K16" s="267">
        <v>34342</v>
      </c>
      <c r="L16" s="305"/>
      <c r="M16" s="356">
        <f t="shared" si="1"/>
        <v>48096</v>
      </c>
      <c r="N16" s="358"/>
      <c r="O16" s="307">
        <v>333872</v>
      </c>
      <c r="P16" s="305"/>
      <c r="Q16" s="307">
        <v>1882648</v>
      </c>
      <c r="R16" s="305"/>
      <c r="S16" s="356">
        <f t="shared" si="0"/>
        <v>2216520</v>
      </c>
      <c r="T16" s="358"/>
    </row>
    <row r="17" spans="2:20" s="21" customFormat="1" ht="25.15" customHeight="1" x14ac:dyDescent="0.2">
      <c r="B17" s="388">
        <v>2008</v>
      </c>
      <c r="C17" s="267">
        <v>33</v>
      </c>
      <c r="D17" s="304"/>
      <c r="E17" s="267">
        <v>30</v>
      </c>
      <c r="F17" s="304"/>
      <c r="G17" s="356">
        <f t="shared" si="2"/>
        <v>63</v>
      </c>
      <c r="H17" s="357"/>
      <c r="I17" s="267">
        <v>10741</v>
      </c>
      <c r="J17" s="304"/>
      <c r="K17" s="267">
        <v>23270</v>
      </c>
      <c r="L17" s="305"/>
      <c r="M17" s="356">
        <f t="shared" si="1"/>
        <v>34011</v>
      </c>
      <c r="N17" s="358"/>
      <c r="O17" s="307">
        <v>268720</v>
      </c>
      <c r="P17" s="305"/>
      <c r="Q17" s="307">
        <v>1252240</v>
      </c>
      <c r="R17" s="305"/>
      <c r="S17" s="356">
        <f t="shared" si="0"/>
        <v>1520960</v>
      </c>
      <c r="T17" s="358"/>
    </row>
    <row r="18" spans="2:20" s="21" customFormat="1" ht="25.15" customHeight="1" x14ac:dyDescent="0.2">
      <c r="B18" s="388">
        <v>2009</v>
      </c>
      <c r="C18" s="267">
        <v>59</v>
      </c>
      <c r="D18" s="308"/>
      <c r="E18" s="267">
        <v>40</v>
      </c>
      <c r="F18" s="267"/>
      <c r="G18" s="356">
        <f t="shared" si="2"/>
        <v>99</v>
      </c>
      <c r="H18" s="357"/>
      <c r="I18" s="267">
        <v>19774</v>
      </c>
      <c r="J18" s="304"/>
      <c r="K18" s="267">
        <v>16340</v>
      </c>
      <c r="L18" s="267"/>
      <c r="M18" s="356">
        <f>SUM(I18+K18)</f>
        <v>36114</v>
      </c>
      <c r="N18" s="358"/>
      <c r="O18" s="307">
        <v>371434</v>
      </c>
      <c r="P18" s="305"/>
      <c r="Q18" s="307">
        <v>1081032</v>
      </c>
      <c r="R18" s="305"/>
      <c r="S18" s="356">
        <f>SUM(O18+Q18)</f>
        <v>1452466</v>
      </c>
      <c r="T18" s="358"/>
    </row>
    <row r="19" spans="2:20" s="21" customFormat="1" ht="25.15" customHeight="1" x14ac:dyDescent="0.2">
      <c r="B19" s="388">
        <v>2010</v>
      </c>
      <c r="C19" s="267">
        <v>27</v>
      </c>
      <c r="D19" s="308"/>
      <c r="E19" s="267">
        <v>56</v>
      </c>
      <c r="F19" s="267"/>
      <c r="G19" s="356">
        <f t="shared" si="2"/>
        <v>83</v>
      </c>
      <c r="H19" s="357"/>
      <c r="I19" s="267">
        <v>7505</v>
      </c>
      <c r="J19" s="304"/>
      <c r="K19" s="267">
        <v>23101</v>
      </c>
      <c r="L19" s="267"/>
      <c r="M19" s="356">
        <f t="shared" si="1"/>
        <v>30606</v>
      </c>
      <c r="N19" s="358"/>
      <c r="O19" s="307">
        <v>133080</v>
      </c>
      <c r="P19" s="305"/>
      <c r="Q19" s="307">
        <v>1146300</v>
      </c>
      <c r="R19" s="305"/>
      <c r="S19" s="356">
        <f t="shared" si="0"/>
        <v>1279380</v>
      </c>
      <c r="T19" s="358"/>
    </row>
    <row r="20" spans="2:20" s="21" customFormat="1" ht="25.15" customHeight="1" x14ac:dyDescent="0.2">
      <c r="B20" s="388">
        <v>2011</v>
      </c>
      <c r="C20" s="267">
        <v>38</v>
      </c>
      <c r="D20" s="308"/>
      <c r="E20" s="267">
        <v>46</v>
      </c>
      <c r="F20" s="267"/>
      <c r="G20" s="356">
        <f t="shared" si="2"/>
        <v>84</v>
      </c>
      <c r="H20" s="357"/>
      <c r="I20" s="267">
        <v>7535</v>
      </c>
      <c r="J20" s="304"/>
      <c r="K20" s="267">
        <v>19235</v>
      </c>
      <c r="L20" s="267"/>
      <c r="M20" s="356">
        <f t="shared" si="1"/>
        <v>26770</v>
      </c>
      <c r="N20" s="358"/>
      <c r="O20" s="307">
        <v>83680</v>
      </c>
      <c r="P20" s="305"/>
      <c r="Q20" s="307">
        <v>1715736</v>
      </c>
      <c r="R20" s="305"/>
      <c r="S20" s="356">
        <f t="shared" si="0"/>
        <v>1799416</v>
      </c>
      <c r="T20" s="358"/>
    </row>
    <row r="21" spans="2:20" s="21" customFormat="1" ht="25.15" customHeight="1" x14ac:dyDescent="0.2">
      <c r="B21" s="388">
        <v>2012</v>
      </c>
      <c r="C21" s="267">
        <v>48</v>
      </c>
      <c r="D21" s="308"/>
      <c r="E21" s="267">
        <v>41</v>
      </c>
      <c r="F21" s="267"/>
      <c r="G21" s="356">
        <f t="shared" si="2"/>
        <v>89</v>
      </c>
      <c r="H21" s="357"/>
      <c r="I21" s="267">
        <v>10082</v>
      </c>
      <c r="J21" s="304"/>
      <c r="K21" s="267">
        <v>15763</v>
      </c>
      <c r="L21" s="267"/>
      <c r="M21" s="356">
        <f t="shared" si="1"/>
        <v>25845</v>
      </c>
      <c r="N21" s="358"/>
      <c r="O21" s="307">
        <v>123654</v>
      </c>
      <c r="P21" s="305"/>
      <c r="Q21" s="307">
        <v>1755042</v>
      </c>
      <c r="R21" s="305"/>
      <c r="S21" s="356">
        <f t="shared" si="0"/>
        <v>1878696</v>
      </c>
      <c r="T21" s="358"/>
    </row>
    <row r="22" spans="2:20" s="21" customFormat="1" ht="25.15" customHeight="1" x14ac:dyDescent="0.2">
      <c r="B22" s="388">
        <v>2013</v>
      </c>
      <c r="C22" s="267">
        <v>36</v>
      </c>
      <c r="D22" s="308"/>
      <c r="E22" s="267">
        <v>58</v>
      </c>
      <c r="F22" s="267"/>
      <c r="G22" s="356">
        <f t="shared" si="2"/>
        <v>94</v>
      </c>
      <c r="H22" s="357"/>
      <c r="I22" s="267">
        <v>10674</v>
      </c>
      <c r="J22" s="304"/>
      <c r="K22" s="267">
        <v>16062</v>
      </c>
      <c r="L22" s="267"/>
      <c r="M22" s="356">
        <f t="shared" si="1"/>
        <v>26736</v>
      </c>
      <c r="N22" s="358"/>
      <c r="O22" s="307">
        <v>172104</v>
      </c>
      <c r="P22" s="305"/>
      <c r="Q22" s="307">
        <v>1401098</v>
      </c>
      <c r="R22" s="305"/>
      <c r="S22" s="356">
        <f t="shared" si="0"/>
        <v>1573202</v>
      </c>
      <c r="T22" s="358"/>
    </row>
    <row r="23" spans="2:20" s="21" customFormat="1" ht="25.15" customHeight="1" x14ac:dyDescent="0.2">
      <c r="B23" s="388">
        <v>2014</v>
      </c>
      <c r="C23" s="267">
        <v>44</v>
      </c>
      <c r="D23" s="308"/>
      <c r="E23" s="267">
        <v>51</v>
      </c>
      <c r="F23" s="267"/>
      <c r="G23" s="356">
        <f t="shared" si="2"/>
        <v>95</v>
      </c>
      <c r="H23" s="357"/>
      <c r="I23" s="267">
        <v>15299</v>
      </c>
      <c r="J23" s="304"/>
      <c r="K23" s="267">
        <v>25382</v>
      </c>
      <c r="L23" s="267"/>
      <c r="M23" s="356">
        <f t="shared" si="1"/>
        <v>40681</v>
      </c>
      <c r="N23" s="358"/>
      <c r="O23" s="307">
        <v>239914</v>
      </c>
      <c r="P23" s="305"/>
      <c r="Q23" s="307">
        <v>2913104</v>
      </c>
      <c r="R23" s="305"/>
      <c r="S23" s="356">
        <f t="shared" si="0"/>
        <v>3153018</v>
      </c>
      <c r="T23" s="358"/>
    </row>
    <row r="24" spans="2:20" s="21" customFormat="1" ht="25.15" customHeight="1" x14ac:dyDescent="0.2">
      <c r="B24" s="388">
        <v>2015</v>
      </c>
      <c r="C24" s="267">
        <v>23</v>
      </c>
      <c r="D24" s="308"/>
      <c r="E24" s="267">
        <v>24</v>
      </c>
      <c r="F24" s="267"/>
      <c r="G24" s="356">
        <f t="shared" si="2"/>
        <v>47</v>
      </c>
      <c r="H24" s="357"/>
      <c r="I24" s="267">
        <v>17547</v>
      </c>
      <c r="J24" s="304"/>
      <c r="K24" s="267">
        <v>14519</v>
      </c>
      <c r="L24" s="267"/>
      <c r="M24" s="356">
        <f t="shared" si="1"/>
        <v>32066</v>
      </c>
      <c r="N24" s="358"/>
      <c r="O24" s="307">
        <v>206816</v>
      </c>
      <c r="P24" s="305"/>
      <c r="Q24" s="307">
        <v>1718816</v>
      </c>
      <c r="R24" s="305"/>
      <c r="S24" s="356">
        <f t="shared" si="0"/>
        <v>1925632</v>
      </c>
      <c r="T24" s="358"/>
    </row>
    <row r="25" spans="2:20" s="21" customFormat="1" ht="25.15" customHeight="1" x14ac:dyDescent="0.2">
      <c r="B25" s="388">
        <v>2016</v>
      </c>
      <c r="C25" s="267">
        <v>20</v>
      </c>
      <c r="D25" s="308"/>
      <c r="E25" s="267">
        <v>21</v>
      </c>
      <c r="F25" s="267"/>
      <c r="G25" s="356">
        <f t="shared" si="2"/>
        <v>41</v>
      </c>
      <c r="H25" s="357"/>
      <c r="I25" s="267">
        <v>7826</v>
      </c>
      <c r="J25" s="304"/>
      <c r="K25" s="267">
        <v>12637</v>
      </c>
      <c r="L25" s="267"/>
      <c r="M25" s="356">
        <f t="shared" si="1"/>
        <v>20463</v>
      </c>
      <c r="N25" s="358"/>
      <c r="O25" s="307">
        <v>85736</v>
      </c>
      <c r="P25" s="305"/>
      <c r="Q25" s="307">
        <v>2998320</v>
      </c>
      <c r="R25" s="305"/>
      <c r="S25" s="356">
        <f t="shared" si="0"/>
        <v>3084056</v>
      </c>
      <c r="T25" s="358"/>
    </row>
    <row r="26" spans="2:20" s="21" customFormat="1" ht="25.15" customHeight="1" x14ac:dyDescent="0.2">
      <c r="B26" s="388">
        <v>2017</v>
      </c>
      <c r="C26" s="267">
        <v>18</v>
      </c>
      <c r="D26" s="308"/>
      <c r="E26" s="267">
        <v>27</v>
      </c>
      <c r="F26" s="267"/>
      <c r="G26" s="356">
        <f>SUM(C26+E26)</f>
        <v>45</v>
      </c>
      <c r="H26" s="357"/>
      <c r="I26" s="267">
        <v>21185</v>
      </c>
      <c r="J26" s="304"/>
      <c r="K26" s="267">
        <v>35425</v>
      </c>
      <c r="L26" s="267"/>
      <c r="M26" s="356">
        <f>SUM(I26+K26)</f>
        <v>56610</v>
      </c>
      <c r="N26" s="358"/>
      <c r="O26" s="307">
        <v>286956</v>
      </c>
      <c r="P26" s="305"/>
      <c r="Q26" s="307">
        <v>2719538</v>
      </c>
      <c r="R26" s="305"/>
      <c r="S26" s="356">
        <f>SUM(O26+Q26)</f>
        <v>3006494</v>
      </c>
      <c r="T26" s="358"/>
    </row>
    <row r="27" spans="2:20" s="21" customFormat="1" ht="25.15" customHeight="1" x14ac:dyDescent="0.2">
      <c r="B27" s="388">
        <v>2018</v>
      </c>
      <c r="C27" s="267">
        <v>24</v>
      </c>
      <c r="D27" s="308"/>
      <c r="E27" s="267">
        <v>30</v>
      </c>
      <c r="F27" s="267"/>
      <c r="G27" s="356">
        <f t="shared" si="2"/>
        <v>54</v>
      </c>
      <c r="H27" s="357"/>
      <c r="I27" s="267">
        <f>7197+250</f>
        <v>7447</v>
      </c>
      <c r="J27" s="304"/>
      <c r="K27" s="267">
        <v>14049</v>
      </c>
      <c r="L27" s="267"/>
      <c r="M27" s="356">
        <f t="shared" si="1"/>
        <v>21496</v>
      </c>
      <c r="N27" s="358"/>
      <c r="O27" s="307">
        <f>90310+2000</f>
        <v>92310</v>
      </c>
      <c r="P27" s="305"/>
      <c r="Q27" s="307">
        <v>646554</v>
      </c>
      <c r="R27" s="305"/>
      <c r="S27" s="356">
        <f t="shared" si="0"/>
        <v>738864</v>
      </c>
      <c r="T27" s="358"/>
    </row>
    <row r="28" spans="2:20" s="21" customFormat="1" ht="25.15" customHeight="1" x14ac:dyDescent="0.2">
      <c r="B28" s="388">
        <v>2019</v>
      </c>
      <c r="C28" s="267">
        <v>36</v>
      </c>
      <c r="D28" s="308"/>
      <c r="E28" s="267">
        <v>31</v>
      </c>
      <c r="F28" s="267"/>
      <c r="G28" s="356">
        <f t="shared" ref="G28:G33" si="3">SUM(C28+E28)</f>
        <v>67</v>
      </c>
      <c r="H28" s="357"/>
      <c r="I28" s="267">
        <v>86311</v>
      </c>
      <c r="J28" s="304"/>
      <c r="K28" s="267">
        <v>23843</v>
      </c>
      <c r="L28" s="267"/>
      <c r="M28" s="356">
        <f t="shared" ref="M28:M33" si="4">SUM(I28+K28)</f>
        <v>110154</v>
      </c>
      <c r="N28" s="358"/>
      <c r="O28" s="307">
        <v>770232</v>
      </c>
      <c r="P28" s="305"/>
      <c r="Q28" s="307">
        <v>1315624</v>
      </c>
      <c r="R28" s="305"/>
      <c r="S28" s="356">
        <f t="shared" ref="S28:S33" si="5">SUM(O28+Q28)</f>
        <v>2085856</v>
      </c>
      <c r="T28" s="358"/>
    </row>
    <row r="29" spans="2:20" s="21" customFormat="1" ht="25.15" customHeight="1" x14ac:dyDescent="0.2">
      <c r="B29" s="388">
        <v>2020</v>
      </c>
      <c r="C29" s="267">
        <v>15</v>
      </c>
      <c r="D29" s="308"/>
      <c r="E29" s="267">
        <v>8</v>
      </c>
      <c r="F29" s="267"/>
      <c r="G29" s="356">
        <f t="shared" si="3"/>
        <v>23</v>
      </c>
      <c r="H29" s="357"/>
      <c r="I29" s="267">
        <v>31143</v>
      </c>
      <c r="J29" s="304"/>
      <c r="K29" s="267">
        <v>96725</v>
      </c>
      <c r="L29" s="267"/>
      <c r="M29" s="356">
        <f t="shared" si="4"/>
        <v>127868</v>
      </c>
      <c r="N29" s="358"/>
      <c r="O29" s="307">
        <v>544528</v>
      </c>
      <c r="P29" s="305"/>
      <c r="Q29" s="307">
        <v>3108656</v>
      </c>
      <c r="R29" s="305"/>
      <c r="S29" s="356">
        <f t="shared" si="5"/>
        <v>3653184</v>
      </c>
      <c r="T29" s="358"/>
    </row>
    <row r="30" spans="2:20" s="21" customFormat="1" ht="25.15" customHeight="1" x14ac:dyDescent="0.2">
      <c r="B30" s="388">
        <v>2021</v>
      </c>
      <c r="C30" s="267">
        <v>12</v>
      </c>
      <c r="D30" s="308"/>
      <c r="E30" s="267">
        <v>26</v>
      </c>
      <c r="F30" s="267"/>
      <c r="G30" s="356">
        <f t="shared" si="3"/>
        <v>38</v>
      </c>
      <c r="H30" s="357"/>
      <c r="I30" s="267">
        <v>201861</v>
      </c>
      <c r="J30" s="304"/>
      <c r="K30" s="267">
        <v>7281</v>
      </c>
      <c r="L30" s="267"/>
      <c r="M30" s="356">
        <f t="shared" si="4"/>
        <v>209142</v>
      </c>
      <c r="N30" s="358"/>
      <c r="O30" s="307">
        <v>2393352</v>
      </c>
      <c r="P30" s="305"/>
      <c r="Q30" s="307">
        <v>633888</v>
      </c>
      <c r="R30" s="305"/>
      <c r="S30" s="356">
        <f t="shared" si="5"/>
        <v>3027240</v>
      </c>
      <c r="T30" s="358"/>
    </row>
    <row r="31" spans="2:20" s="21" customFormat="1" ht="25.15" customHeight="1" x14ac:dyDescent="0.2">
      <c r="B31" s="388">
        <v>2022</v>
      </c>
      <c r="C31" s="267">
        <v>11</v>
      </c>
      <c r="D31" s="308"/>
      <c r="E31" s="267">
        <v>30</v>
      </c>
      <c r="F31" s="267"/>
      <c r="G31" s="356">
        <f t="shared" si="3"/>
        <v>41</v>
      </c>
      <c r="H31" s="357"/>
      <c r="I31" s="267">
        <v>9295</v>
      </c>
      <c r="J31" s="304"/>
      <c r="K31" s="267">
        <v>19850</v>
      </c>
      <c r="L31" s="267"/>
      <c r="M31" s="356">
        <f t="shared" si="4"/>
        <v>29145</v>
      </c>
      <c r="N31" s="358"/>
      <c r="O31" s="307">
        <v>103332</v>
      </c>
      <c r="P31" s="305"/>
      <c r="Q31" s="307">
        <v>2019600</v>
      </c>
      <c r="R31" s="305"/>
      <c r="S31" s="356">
        <f t="shared" si="5"/>
        <v>2122932</v>
      </c>
      <c r="T31" s="358"/>
    </row>
    <row r="32" spans="2:20" s="21" customFormat="1" ht="25.15" customHeight="1" x14ac:dyDescent="0.2">
      <c r="B32" s="388">
        <v>2023</v>
      </c>
      <c r="C32" s="267">
        <v>27</v>
      </c>
      <c r="D32" s="308"/>
      <c r="E32" s="267">
        <v>28</v>
      </c>
      <c r="F32" s="267"/>
      <c r="G32" s="356">
        <f t="shared" si="3"/>
        <v>55</v>
      </c>
      <c r="H32" s="357"/>
      <c r="I32" s="267">
        <v>68604</v>
      </c>
      <c r="J32" s="304"/>
      <c r="K32" s="267">
        <v>9279</v>
      </c>
      <c r="L32" s="267"/>
      <c r="M32" s="356">
        <f t="shared" si="4"/>
        <v>77883</v>
      </c>
      <c r="N32" s="358"/>
      <c r="O32" s="307">
        <v>844848</v>
      </c>
      <c r="P32" s="305"/>
      <c r="Q32" s="307">
        <v>617161</v>
      </c>
      <c r="R32" s="305"/>
      <c r="S32" s="356">
        <f t="shared" si="5"/>
        <v>1462009</v>
      </c>
      <c r="T32" s="358"/>
    </row>
    <row r="33" spans="2:45" s="21" customFormat="1" ht="25.15" customHeight="1" x14ac:dyDescent="0.2">
      <c r="B33" s="388">
        <v>2024</v>
      </c>
      <c r="C33" s="267">
        <v>28</v>
      </c>
      <c r="D33" s="308"/>
      <c r="E33" s="267">
        <v>35</v>
      </c>
      <c r="F33" s="267"/>
      <c r="G33" s="356">
        <f t="shared" si="3"/>
        <v>63</v>
      </c>
      <c r="H33" s="357"/>
      <c r="I33" s="267">
        <v>37409</v>
      </c>
      <c r="J33" s="304"/>
      <c r="K33" s="267">
        <v>39295</v>
      </c>
      <c r="L33" s="267"/>
      <c r="M33" s="356">
        <f t="shared" si="4"/>
        <v>76704</v>
      </c>
      <c r="N33" s="358"/>
      <c r="O33" s="307">
        <v>328408</v>
      </c>
      <c r="P33" s="305"/>
      <c r="Q33" s="307">
        <v>1967108</v>
      </c>
      <c r="R33" s="305"/>
      <c r="S33" s="356">
        <f t="shared" si="5"/>
        <v>2295516</v>
      </c>
      <c r="T33" s="358"/>
    </row>
    <row r="34" spans="2:45" s="21" customFormat="1" ht="25.15" customHeight="1" x14ac:dyDescent="0.2">
      <c r="B34" s="388">
        <v>2025</v>
      </c>
      <c r="C34" s="267">
        <v>25</v>
      </c>
      <c r="D34" s="308"/>
      <c r="E34" s="267">
        <v>33</v>
      </c>
      <c r="F34" s="267"/>
      <c r="G34" s="356">
        <f t="shared" si="2"/>
        <v>58</v>
      </c>
      <c r="H34" s="357"/>
      <c r="I34" s="267">
        <v>15531</v>
      </c>
      <c r="J34" s="304"/>
      <c r="K34" s="267">
        <v>58835</v>
      </c>
      <c r="L34" s="267"/>
      <c r="M34" s="356">
        <f t="shared" si="1"/>
        <v>74366</v>
      </c>
      <c r="N34" s="358"/>
      <c r="O34" s="307">
        <v>238028</v>
      </c>
      <c r="P34" s="305"/>
      <c r="Q34" s="307">
        <v>7543706</v>
      </c>
      <c r="R34" s="305"/>
      <c r="S34" s="356">
        <f t="shared" si="0"/>
        <v>7781734</v>
      </c>
      <c r="T34" s="358"/>
    </row>
    <row r="35" spans="2:45" s="21" customFormat="1" ht="7.9" customHeight="1" x14ac:dyDescent="0.2">
      <c r="B35" s="388"/>
      <c r="C35" s="267"/>
      <c r="D35" s="308"/>
      <c r="E35" s="267"/>
      <c r="F35" s="304"/>
      <c r="G35" s="356"/>
      <c r="H35" s="357"/>
      <c r="I35" s="267"/>
      <c r="J35" s="304"/>
      <c r="K35" s="267"/>
      <c r="L35" s="305"/>
      <c r="M35" s="356"/>
      <c r="N35" s="358"/>
      <c r="O35" s="267"/>
      <c r="P35" s="305"/>
      <c r="Q35" s="307"/>
      <c r="R35" s="305"/>
      <c r="S35" s="356"/>
      <c r="T35" s="358"/>
    </row>
    <row r="36" spans="2:45" s="1" customFormat="1" ht="25.9" customHeight="1" x14ac:dyDescent="0.2">
      <c r="B36" s="5" t="s">
        <v>217</v>
      </c>
      <c r="C36" s="6"/>
      <c r="D36" s="6"/>
      <c r="E36" s="6"/>
      <c r="F36" s="6"/>
      <c r="G36" s="7"/>
      <c r="H36" s="6"/>
      <c r="I36" s="6"/>
      <c r="Y36" s="8"/>
      <c r="Z36" s="4"/>
      <c r="AA36" s="8"/>
      <c r="AB36" s="9"/>
      <c r="AC36" s="8"/>
      <c r="AD36" s="9"/>
    </row>
    <row r="37" spans="2:45" s="1" customFormat="1" ht="30" customHeight="1" x14ac:dyDescent="0.2">
      <c r="B37" s="10" t="s">
        <v>257</v>
      </c>
      <c r="C37" s="11"/>
      <c r="D37" s="11"/>
      <c r="E37" s="11"/>
      <c r="F37" s="11"/>
      <c r="G37" s="11"/>
      <c r="H37" s="12"/>
      <c r="I37" s="12"/>
      <c r="J37" s="12"/>
      <c r="K37" s="12"/>
      <c r="Z37" s="13"/>
      <c r="AA37" s="14"/>
      <c r="AB37" s="13"/>
      <c r="AC37" s="14"/>
      <c r="AD37" s="15"/>
    </row>
    <row r="38" spans="2:45" s="1" customFormat="1" ht="30" customHeight="1" x14ac:dyDescent="0.2">
      <c r="B38" s="16" t="s">
        <v>245</v>
      </c>
      <c r="D38" s="17"/>
      <c r="E38" s="18"/>
      <c r="F38" s="17"/>
      <c r="G38" s="19"/>
      <c r="H38" s="20"/>
      <c r="I38" s="21"/>
      <c r="J38" s="21"/>
    </row>
    <row r="39" spans="2:45" ht="40.9" customHeight="1" x14ac:dyDescent="0.2">
      <c r="B39" s="697" t="s">
        <v>215</v>
      </c>
      <c r="C39" s="697"/>
      <c r="D39" s="697"/>
      <c r="E39" s="697"/>
      <c r="F39" s="697"/>
      <c r="G39" s="697"/>
      <c r="H39" s="697"/>
      <c r="I39" s="697"/>
      <c r="J39" s="697"/>
      <c r="K39" s="697"/>
      <c r="L39" s="697"/>
      <c r="M39" s="697"/>
      <c r="N39" s="697"/>
      <c r="O39" s="697"/>
      <c r="P39" s="697"/>
      <c r="Q39" s="697"/>
      <c r="R39" s="697"/>
      <c r="S39" s="697"/>
      <c r="T39" s="697"/>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row>
  </sheetData>
  <mergeCells count="22">
    <mergeCell ref="B39:T39"/>
    <mergeCell ref="B1:T1"/>
    <mergeCell ref="B3:T3"/>
    <mergeCell ref="B4:T4"/>
    <mergeCell ref="B5:B7"/>
    <mergeCell ref="C5:H5"/>
    <mergeCell ref="O5:T5"/>
    <mergeCell ref="C7:D7"/>
    <mergeCell ref="O6:P6"/>
    <mergeCell ref="O7:P7"/>
    <mergeCell ref="S6:T7"/>
    <mergeCell ref="M6:N7"/>
    <mergeCell ref="E7:F7"/>
    <mergeCell ref="I7:J7"/>
    <mergeCell ref="I6:J6"/>
    <mergeCell ref="K6:L6"/>
    <mergeCell ref="C6:D6"/>
    <mergeCell ref="E6:F6"/>
    <mergeCell ref="Q6:R6"/>
    <mergeCell ref="K7:L7"/>
    <mergeCell ref="G6:H7"/>
    <mergeCell ref="Q7:R7"/>
  </mergeCells>
  <phoneticPr fontId="2" type="noConversion"/>
  <printOptions horizontalCentered="1" verticalCentered="1"/>
  <pageMargins left="0" right="0" top="0" bottom="0" header="0" footer="0"/>
  <pageSetup paperSize="9" scale="45" orientation="landscape" r:id="rId1"/>
  <headerFooter alignWithMargins="0"/>
  <rowBreaks count="1" manualBreakCount="1">
    <brk id="39" min="1" max="19" man="1"/>
  </rowBreaks>
  <ignoredErrors>
    <ignoredError sqref="G13"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B1:AS39"/>
  <sheetViews>
    <sheetView showGridLines="0" topLeftCell="A16" zoomScale="68" zoomScaleNormal="68" zoomScaleSheetLayoutView="70" workbookViewId="0">
      <selection activeCell="G35" sqref="G35"/>
    </sheetView>
  </sheetViews>
  <sheetFormatPr baseColWidth="10" defaultColWidth="11.5703125" defaultRowHeight="12.75" x14ac:dyDescent="0.2"/>
  <cols>
    <col min="1" max="1" width="11.5703125" style="38"/>
    <col min="2" max="2" width="15.140625" style="38" customWidth="1"/>
    <col min="3" max="3" width="10.7109375" style="38" customWidth="1"/>
    <col min="4" max="4" width="4.7109375" style="38" customWidth="1"/>
    <col min="5" max="5" width="17.85546875" style="38" customWidth="1"/>
    <col min="6" max="6" width="4.7109375" style="38" customWidth="1"/>
    <col min="7" max="7" width="12.7109375" style="38" customWidth="1"/>
    <col min="8" max="8" width="4.7109375" style="38" customWidth="1"/>
    <col min="9" max="9" width="12.28515625" style="38" customWidth="1"/>
    <col min="10" max="10" width="4.7109375" style="38" customWidth="1"/>
    <col min="11" max="11" width="16" style="38" customWidth="1"/>
    <col min="12" max="12" width="4.7109375" style="38" customWidth="1"/>
    <col min="13" max="13" width="12.7109375" style="38" customWidth="1"/>
    <col min="14" max="14" width="4.7109375" style="38" customWidth="1"/>
    <col min="15" max="15" width="12.7109375" style="38" customWidth="1"/>
    <col min="16" max="16" width="4.7109375" style="38" customWidth="1"/>
    <col min="17" max="17" width="15.140625" style="38" customWidth="1"/>
    <col min="18" max="18" width="4.7109375" style="38" customWidth="1"/>
    <col min="19" max="19" width="15.7109375" style="38" customWidth="1"/>
    <col min="20" max="20" width="4.7109375" style="38" customWidth="1"/>
    <col min="21" max="16384" width="11.5703125" style="38"/>
  </cols>
  <sheetData>
    <row r="1" spans="2:27" ht="29.25" customHeight="1" x14ac:dyDescent="0.2">
      <c r="B1" s="691" t="s">
        <v>139</v>
      </c>
      <c r="C1" s="691"/>
      <c r="D1" s="691"/>
      <c r="E1" s="691"/>
      <c r="F1" s="691"/>
      <c r="G1" s="691"/>
      <c r="H1" s="691"/>
      <c r="I1" s="691"/>
      <c r="J1" s="691"/>
      <c r="K1" s="691"/>
      <c r="L1" s="691"/>
      <c r="M1" s="691"/>
      <c r="N1" s="691"/>
      <c r="O1" s="691"/>
      <c r="P1" s="691"/>
      <c r="Q1" s="691"/>
      <c r="R1" s="691"/>
      <c r="S1" s="691"/>
      <c r="T1" s="691"/>
      <c r="U1" s="1"/>
      <c r="V1" s="1"/>
      <c r="W1" s="1"/>
      <c r="X1" s="1"/>
      <c r="Y1" s="1"/>
      <c r="Z1" s="1"/>
      <c r="AA1" s="1"/>
    </row>
    <row r="2" spans="2:27" ht="35.1" customHeight="1" x14ac:dyDescent="0.2">
      <c r="B2" s="693" t="s">
        <v>145</v>
      </c>
      <c r="C2" s="693"/>
      <c r="D2" s="693"/>
      <c r="E2" s="693"/>
      <c r="F2" s="693"/>
      <c r="G2" s="693"/>
      <c r="H2" s="693"/>
      <c r="I2" s="693"/>
      <c r="J2" s="693"/>
      <c r="K2" s="693"/>
      <c r="L2" s="693"/>
      <c r="M2" s="693"/>
      <c r="N2" s="693"/>
      <c r="O2" s="693"/>
      <c r="P2" s="693"/>
      <c r="Q2" s="693"/>
      <c r="R2" s="693"/>
      <c r="S2" s="693"/>
      <c r="T2" s="1"/>
      <c r="U2" s="1"/>
      <c r="V2" s="1"/>
      <c r="W2" s="1"/>
      <c r="X2" s="1"/>
      <c r="Y2" s="1"/>
      <c r="Z2" s="1"/>
      <c r="AA2" s="1"/>
    </row>
    <row r="3" spans="2:27" ht="35.1" customHeight="1" x14ac:dyDescent="0.2">
      <c r="B3" s="692" t="s">
        <v>235</v>
      </c>
      <c r="C3" s="692"/>
      <c r="D3" s="692"/>
      <c r="E3" s="692"/>
      <c r="F3" s="692"/>
      <c r="G3" s="692"/>
      <c r="H3" s="692"/>
      <c r="I3" s="692"/>
      <c r="J3" s="692"/>
      <c r="K3" s="692"/>
      <c r="L3" s="692"/>
      <c r="M3" s="692"/>
      <c r="N3" s="692"/>
      <c r="O3" s="692"/>
      <c r="P3" s="692"/>
      <c r="Q3" s="692"/>
      <c r="R3" s="692"/>
      <c r="S3" s="692"/>
      <c r="T3" s="692"/>
      <c r="U3" s="1"/>
      <c r="V3" s="862"/>
      <c r="W3" s="862"/>
      <c r="X3" s="862"/>
      <c r="Y3" s="862"/>
      <c r="Z3" s="862"/>
      <c r="AA3" s="1"/>
    </row>
    <row r="4" spans="2:27" ht="35.1" customHeight="1" thickBot="1" x14ac:dyDescent="0.25">
      <c r="B4" s="691" t="s">
        <v>333</v>
      </c>
      <c r="C4" s="691"/>
      <c r="D4" s="691"/>
      <c r="E4" s="691"/>
      <c r="F4" s="691"/>
      <c r="G4" s="691"/>
      <c r="H4" s="691"/>
      <c r="I4" s="691"/>
      <c r="J4" s="691"/>
      <c r="K4" s="691"/>
      <c r="L4" s="691"/>
      <c r="M4" s="691"/>
      <c r="N4" s="691"/>
      <c r="O4" s="691"/>
      <c r="P4" s="691"/>
      <c r="Q4" s="691"/>
      <c r="R4" s="691"/>
      <c r="S4" s="691"/>
      <c r="T4" s="691"/>
      <c r="U4" s="23"/>
      <c r="V4" s="190"/>
      <c r="W4" s="190"/>
      <c r="X4" s="23"/>
      <c r="Y4" s="191"/>
      <c r="Z4" s="190"/>
      <c r="AA4" s="1"/>
    </row>
    <row r="5" spans="2:27" ht="30" customHeight="1" thickBot="1" x14ac:dyDescent="0.25">
      <c r="B5" s="845" t="s">
        <v>1</v>
      </c>
      <c r="C5" s="845" t="s">
        <v>2</v>
      </c>
      <c r="D5" s="845"/>
      <c r="E5" s="845"/>
      <c r="F5" s="845"/>
      <c r="G5" s="845"/>
      <c r="H5" s="845"/>
      <c r="I5" s="845" t="s">
        <v>11</v>
      </c>
      <c r="J5" s="845"/>
      <c r="K5" s="845"/>
      <c r="L5" s="845"/>
      <c r="M5" s="845"/>
      <c r="N5" s="845"/>
      <c r="O5" s="845" t="s">
        <v>12</v>
      </c>
      <c r="P5" s="845"/>
      <c r="Q5" s="845"/>
      <c r="R5" s="845"/>
      <c r="S5" s="845"/>
      <c r="T5" s="863"/>
      <c r="U5" s="1"/>
      <c r="V5" s="67"/>
      <c r="W5" s="67"/>
      <c r="X5" s="1"/>
      <c r="Y5" s="67"/>
      <c r="Z5" s="67"/>
      <c r="AA5" s="1"/>
    </row>
    <row r="6" spans="2:27" ht="30" customHeight="1" thickBot="1" x14ac:dyDescent="0.25">
      <c r="B6" s="845"/>
      <c r="C6" s="864" t="s">
        <v>151</v>
      </c>
      <c r="D6" s="864"/>
      <c r="E6" s="864" t="s">
        <v>149</v>
      </c>
      <c r="F6" s="864"/>
      <c r="G6" s="845" t="s">
        <v>6</v>
      </c>
      <c r="H6" s="845"/>
      <c r="I6" s="864" t="s">
        <v>151</v>
      </c>
      <c r="J6" s="864"/>
      <c r="K6" s="864" t="s">
        <v>149</v>
      </c>
      <c r="L6" s="864"/>
      <c r="M6" s="845" t="s">
        <v>6</v>
      </c>
      <c r="N6" s="845"/>
      <c r="O6" s="864" t="s">
        <v>151</v>
      </c>
      <c r="P6" s="864"/>
      <c r="Q6" s="864" t="s">
        <v>149</v>
      </c>
      <c r="R6" s="864"/>
      <c r="S6" s="845" t="s">
        <v>6</v>
      </c>
      <c r="T6" s="863"/>
      <c r="U6" s="1"/>
      <c r="V6" s="67"/>
      <c r="W6" s="67"/>
      <c r="X6" s="1"/>
      <c r="Y6" s="67"/>
      <c r="Z6" s="67"/>
      <c r="AA6" s="1"/>
    </row>
    <row r="7" spans="2:27" ht="30" customHeight="1" x14ac:dyDescent="0.2">
      <c r="B7" s="846"/>
      <c r="C7" s="866" t="s">
        <v>152</v>
      </c>
      <c r="D7" s="866"/>
      <c r="E7" s="866" t="s">
        <v>150</v>
      </c>
      <c r="F7" s="866"/>
      <c r="G7" s="846"/>
      <c r="H7" s="846"/>
      <c r="I7" s="866" t="s">
        <v>152</v>
      </c>
      <c r="J7" s="866"/>
      <c r="K7" s="866" t="s">
        <v>150</v>
      </c>
      <c r="L7" s="866"/>
      <c r="M7" s="846"/>
      <c r="N7" s="846"/>
      <c r="O7" s="866" t="s">
        <v>152</v>
      </c>
      <c r="P7" s="866"/>
      <c r="Q7" s="866" t="s">
        <v>150</v>
      </c>
      <c r="R7" s="866"/>
      <c r="S7" s="846"/>
      <c r="T7" s="865"/>
      <c r="U7" s="1"/>
      <c r="V7" s="67"/>
      <c r="W7" s="67"/>
      <c r="X7" s="1"/>
      <c r="Y7" s="67"/>
      <c r="Z7" s="67"/>
      <c r="AA7" s="1"/>
    </row>
    <row r="8" spans="2:27" x14ac:dyDescent="0.2">
      <c r="B8" s="409"/>
      <c r="C8" s="363"/>
      <c r="D8" s="363"/>
      <c r="E8" s="363"/>
      <c r="F8" s="363"/>
      <c r="G8" s="364"/>
      <c r="H8" s="364"/>
      <c r="I8" s="363"/>
      <c r="J8" s="363"/>
      <c r="K8" s="363"/>
      <c r="L8" s="363"/>
      <c r="M8" s="364"/>
      <c r="N8" s="364"/>
      <c r="O8" s="363"/>
      <c r="P8" s="363"/>
      <c r="Q8" s="363"/>
      <c r="R8" s="363"/>
      <c r="S8" s="364"/>
      <c r="T8" s="39"/>
      <c r="U8" s="1"/>
      <c r="V8" s="67"/>
      <c r="W8" s="67"/>
      <c r="X8" s="1"/>
      <c r="Y8" s="67"/>
      <c r="Z8" s="67"/>
      <c r="AA8" s="1"/>
    </row>
    <row r="9" spans="2:27" ht="25.15" customHeight="1" x14ac:dyDescent="0.2">
      <c r="B9" s="376">
        <v>2000</v>
      </c>
      <c r="C9" s="70">
        <v>20</v>
      </c>
      <c r="D9" s="70"/>
      <c r="E9" s="70">
        <v>17</v>
      </c>
      <c r="F9" s="70"/>
      <c r="G9" s="342">
        <f t="shared" ref="G9:G19" si="0">SUM(C9:E9)</f>
        <v>37</v>
      </c>
      <c r="H9" s="342"/>
      <c r="I9" s="70">
        <v>2648</v>
      </c>
      <c r="J9" s="70"/>
      <c r="K9" s="70">
        <v>2632</v>
      </c>
      <c r="L9" s="70"/>
      <c r="M9" s="342">
        <f>SUM(I9:K9)</f>
        <v>5280</v>
      </c>
      <c r="N9" s="342"/>
      <c r="O9" s="70">
        <v>143992</v>
      </c>
      <c r="P9" s="70"/>
      <c r="Q9" s="70">
        <v>37699</v>
      </c>
      <c r="R9" s="70"/>
      <c r="S9" s="342">
        <f t="shared" ref="S9:S34" si="1">SUM(O9:Q9)</f>
        <v>181691</v>
      </c>
      <c r="T9" s="39"/>
      <c r="U9" s="1"/>
      <c r="V9" s="67"/>
      <c r="W9" s="67"/>
      <c r="X9" s="1"/>
      <c r="Y9" s="67"/>
      <c r="Z9" s="67"/>
      <c r="AA9" s="1"/>
    </row>
    <row r="10" spans="2:27" ht="25.15" customHeight="1" x14ac:dyDescent="0.2">
      <c r="B10" s="376">
        <v>2001</v>
      </c>
      <c r="C10" s="70">
        <v>19</v>
      </c>
      <c r="D10" s="70"/>
      <c r="E10" s="70">
        <v>21</v>
      </c>
      <c r="F10" s="70"/>
      <c r="G10" s="342">
        <f t="shared" si="0"/>
        <v>40</v>
      </c>
      <c r="H10" s="342"/>
      <c r="I10" s="70">
        <v>3497</v>
      </c>
      <c r="J10" s="70"/>
      <c r="K10" s="70">
        <v>7553</v>
      </c>
      <c r="L10" s="70"/>
      <c r="M10" s="342">
        <f t="shared" ref="M10:M34" si="2">SUM(I10:K10)</f>
        <v>11050</v>
      </c>
      <c r="N10" s="342"/>
      <c r="O10" s="70">
        <v>286832</v>
      </c>
      <c r="P10" s="70"/>
      <c r="Q10" s="70">
        <v>202098</v>
      </c>
      <c r="R10" s="70"/>
      <c r="S10" s="342">
        <f t="shared" si="1"/>
        <v>488930</v>
      </c>
      <c r="T10" s="39"/>
      <c r="U10" s="1"/>
      <c r="V10" s="67"/>
      <c r="W10" s="67"/>
      <c r="X10" s="1"/>
      <c r="Y10" s="67"/>
      <c r="Z10" s="67"/>
      <c r="AA10" s="1"/>
    </row>
    <row r="11" spans="2:27" ht="25.15" customHeight="1" x14ac:dyDescent="0.2">
      <c r="B11" s="376">
        <v>2002</v>
      </c>
      <c r="C11" s="248">
        <v>25</v>
      </c>
      <c r="D11" s="248"/>
      <c r="E11" s="70">
        <v>39</v>
      </c>
      <c r="F11" s="70"/>
      <c r="G11" s="342">
        <f t="shared" si="0"/>
        <v>64</v>
      </c>
      <c r="H11" s="342"/>
      <c r="I11" s="248">
        <v>13352</v>
      </c>
      <c r="J11" s="248"/>
      <c r="K11" s="70">
        <v>9573</v>
      </c>
      <c r="L11" s="70"/>
      <c r="M11" s="342">
        <f t="shared" si="2"/>
        <v>22925</v>
      </c>
      <c r="N11" s="342"/>
      <c r="O11" s="248">
        <v>564416</v>
      </c>
      <c r="P11" s="248"/>
      <c r="Q11" s="70">
        <v>348232</v>
      </c>
      <c r="R11" s="70"/>
      <c r="S11" s="342">
        <f t="shared" si="1"/>
        <v>912648</v>
      </c>
      <c r="T11" s="39"/>
      <c r="U11" s="1"/>
      <c r="V11" s="67"/>
      <c r="W11" s="1"/>
      <c r="X11" s="1"/>
      <c r="Y11" s="67"/>
      <c r="Z11" s="67"/>
      <c r="AA11" s="1"/>
    </row>
    <row r="12" spans="2:27" ht="25.15" customHeight="1" x14ac:dyDescent="0.2">
      <c r="B12" s="376">
        <v>2003</v>
      </c>
      <c r="C12" s="248">
        <v>23</v>
      </c>
      <c r="D12" s="248"/>
      <c r="E12" s="70">
        <v>45</v>
      </c>
      <c r="F12" s="70"/>
      <c r="G12" s="342">
        <f t="shared" si="0"/>
        <v>68</v>
      </c>
      <c r="H12" s="342"/>
      <c r="I12" s="248">
        <v>23499</v>
      </c>
      <c r="J12" s="248"/>
      <c r="K12" s="70">
        <v>13824</v>
      </c>
      <c r="L12" s="70"/>
      <c r="M12" s="342">
        <f>SUM(I12:K12)</f>
        <v>37323</v>
      </c>
      <c r="N12" s="342"/>
      <c r="O12" s="248">
        <v>686832</v>
      </c>
      <c r="P12" s="248"/>
      <c r="Q12" s="70">
        <v>194530</v>
      </c>
      <c r="R12" s="70"/>
      <c r="S12" s="342">
        <f t="shared" si="1"/>
        <v>881362</v>
      </c>
      <c r="T12" s="39"/>
      <c r="U12" s="1"/>
      <c r="V12" s="67"/>
      <c r="W12" s="67"/>
      <c r="X12" s="1"/>
      <c r="Y12" s="67"/>
      <c r="Z12" s="67"/>
      <c r="AA12" s="1"/>
    </row>
    <row r="13" spans="2:27" ht="25.15" customHeight="1" x14ac:dyDescent="0.2">
      <c r="B13" s="376">
        <v>2004</v>
      </c>
      <c r="C13" s="70">
        <v>62</v>
      </c>
      <c r="D13" s="70"/>
      <c r="E13" s="70">
        <v>45</v>
      </c>
      <c r="F13" s="70"/>
      <c r="G13" s="342">
        <f t="shared" si="0"/>
        <v>107</v>
      </c>
      <c r="H13" s="342"/>
      <c r="I13" s="248">
        <v>15892</v>
      </c>
      <c r="J13" s="248"/>
      <c r="K13" s="70">
        <v>13381</v>
      </c>
      <c r="L13" s="70"/>
      <c r="M13" s="342">
        <f t="shared" si="2"/>
        <v>29273</v>
      </c>
      <c r="N13" s="342"/>
      <c r="O13" s="248">
        <v>436696</v>
      </c>
      <c r="P13" s="248"/>
      <c r="Q13" s="70">
        <v>145632</v>
      </c>
      <c r="R13" s="70"/>
      <c r="S13" s="342">
        <f t="shared" si="1"/>
        <v>582328</v>
      </c>
      <c r="T13" s="39"/>
      <c r="U13" s="1"/>
      <c r="V13" s="67"/>
      <c r="W13" s="67"/>
      <c r="X13" s="1"/>
      <c r="Y13" s="67"/>
      <c r="Z13" s="67"/>
      <c r="AA13" s="1"/>
    </row>
    <row r="14" spans="2:27" ht="25.15" customHeight="1" x14ac:dyDescent="0.2">
      <c r="B14" s="376">
        <v>2005</v>
      </c>
      <c r="C14" s="70">
        <v>35</v>
      </c>
      <c r="D14" s="70"/>
      <c r="E14" s="70">
        <v>30</v>
      </c>
      <c r="F14" s="70"/>
      <c r="G14" s="342">
        <f t="shared" si="0"/>
        <v>65</v>
      </c>
      <c r="H14" s="342"/>
      <c r="I14" s="248">
        <v>5879</v>
      </c>
      <c r="J14" s="248"/>
      <c r="K14" s="70">
        <v>13143</v>
      </c>
      <c r="L14" s="70"/>
      <c r="M14" s="342">
        <f t="shared" si="2"/>
        <v>19022</v>
      </c>
      <c r="N14" s="342"/>
      <c r="O14" s="248">
        <v>186448</v>
      </c>
      <c r="P14" s="248"/>
      <c r="Q14" s="70">
        <v>292290</v>
      </c>
      <c r="R14" s="70"/>
      <c r="S14" s="342">
        <f t="shared" si="1"/>
        <v>478738</v>
      </c>
      <c r="T14" s="39"/>
      <c r="U14" s="1"/>
      <c r="V14" s="67"/>
      <c r="W14" s="67"/>
      <c r="X14" s="1"/>
      <c r="Y14" s="67"/>
      <c r="Z14" s="1"/>
      <c r="AA14" s="1"/>
    </row>
    <row r="15" spans="2:27" ht="25.15" customHeight="1" x14ac:dyDescent="0.2">
      <c r="B15" s="376">
        <v>2006</v>
      </c>
      <c r="C15" s="70">
        <v>39</v>
      </c>
      <c r="D15" s="70"/>
      <c r="E15" s="70">
        <v>28</v>
      </c>
      <c r="F15" s="70"/>
      <c r="G15" s="342">
        <f t="shared" si="0"/>
        <v>67</v>
      </c>
      <c r="H15" s="342"/>
      <c r="I15" s="248">
        <v>11491</v>
      </c>
      <c r="J15" s="248"/>
      <c r="K15" s="70">
        <v>8074</v>
      </c>
      <c r="L15" s="70"/>
      <c r="M15" s="342">
        <f t="shared" si="2"/>
        <v>19565</v>
      </c>
      <c r="N15" s="342"/>
      <c r="O15" s="248">
        <v>228112</v>
      </c>
      <c r="P15" s="248"/>
      <c r="Q15" s="70">
        <v>218472</v>
      </c>
      <c r="R15" s="70"/>
      <c r="S15" s="342">
        <f t="shared" si="1"/>
        <v>446584</v>
      </c>
      <c r="T15" s="39"/>
      <c r="U15" s="1"/>
      <c r="V15" s="67"/>
      <c r="W15" s="67"/>
      <c r="X15" s="1"/>
      <c r="Y15" s="67"/>
      <c r="Z15" s="1"/>
      <c r="AA15" s="1"/>
    </row>
    <row r="16" spans="2:27" ht="25.15" customHeight="1" x14ac:dyDescent="0.2">
      <c r="B16" s="376">
        <v>2007</v>
      </c>
      <c r="C16" s="70">
        <v>38</v>
      </c>
      <c r="D16" s="70"/>
      <c r="E16" s="70">
        <v>35</v>
      </c>
      <c r="F16" s="70"/>
      <c r="G16" s="342">
        <f t="shared" si="0"/>
        <v>73</v>
      </c>
      <c r="H16" s="342"/>
      <c r="I16" s="248">
        <v>35623</v>
      </c>
      <c r="J16" s="248"/>
      <c r="K16" s="70">
        <v>12473</v>
      </c>
      <c r="L16" s="70"/>
      <c r="M16" s="342">
        <f t="shared" si="2"/>
        <v>48096</v>
      </c>
      <c r="N16" s="342"/>
      <c r="O16" s="248">
        <v>1373552</v>
      </c>
      <c r="P16" s="248"/>
      <c r="Q16" s="70">
        <v>842968</v>
      </c>
      <c r="R16" s="70"/>
      <c r="S16" s="342">
        <f t="shared" si="1"/>
        <v>2216520</v>
      </c>
      <c r="T16" s="39"/>
      <c r="U16" s="1"/>
      <c r="V16" s="67"/>
      <c r="W16" s="67"/>
      <c r="X16" s="1"/>
      <c r="Y16" s="67"/>
      <c r="Z16" s="1"/>
      <c r="AA16" s="1"/>
    </row>
    <row r="17" spans="2:27" ht="25.15" customHeight="1" x14ac:dyDescent="0.2">
      <c r="B17" s="376">
        <v>2008</v>
      </c>
      <c r="C17" s="70">
        <v>41</v>
      </c>
      <c r="D17" s="70"/>
      <c r="E17" s="70">
        <v>22</v>
      </c>
      <c r="F17" s="70"/>
      <c r="G17" s="342">
        <f t="shared" si="0"/>
        <v>63</v>
      </c>
      <c r="H17" s="342"/>
      <c r="I17" s="248">
        <v>28325</v>
      </c>
      <c r="J17" s="248"/>
      <c r="K17" s="70">
        <v>5686</v>
      </c>
      <c r="L17" s="70"/>
      <c r="M17" s="342">
        <f t="shared" si="2"/>
        <v>34011</v>
      </c>
      <c r="N17" s="342"/>
      <c r="O17" s="248">
        <v>1406936</v>
      </c>
      <c r="P17" s="248"/>
      <c r="Q17" s="70">
        <v>114024</v>
      </c>
      <c r="R17" s="70"/>
      <c r="S17" s="342">
        <f t="shared" si="1"/>
        <v>1520960</v>
      </c>
      <c r="T17" s="39"/>
      <c r="U17" s="1"/>
      <c r="V17" s="67"/>
      <c r="W17" s="67"/>
      <c r="X17" s="1"/>
      <c r="Y17" s="67"/>
      <c r="Z17" s="1"/>
      <c r="AA17" s="1"/>
    </row>
    <row r="18" spans="2:27" ht="25.15" customHeight="1" x14ac:dyDescent="0.2">
      <c r="B18" s="376">
        <v>2009</v>
      </c>
      <c r="C18" s="70">
        <v>47</v>
      </c>
      <c r="D18" s="70"/>
      <c r="E18" s="70">
        <v>52</v>
      </c>
      <c r="F18" s="70"/>
      <c r="G18" s="342">
        <f>SUM(C18:E18)</f>
        <v>99</v>
      </c>
      <c r="H18" s="342"/>
      <c r="I18" s="248">
        <v>19740</v>
      </c>
      <c r="J18" s="248"/>
      <c r="K18" s="70">
        <v>16374</v>
      </c>
      <c r="L18" s="70"/>
      <c r="M18" s="342">
        <f t="shared" si="2"/>
        <v>36114</v>
      </c>
      <c r="N18" s="342"/>
      <c r="O18" s="248">
        <v>1104912</v>
      </c>
      <c r="P18" s="248"/>
      <c r="Q18" s="70">
        <v>347554</v>
      </c>
      <c r="R18" s="70"/>
      <c r="S18" s="342">
        <f t="shared" si="1"/>
        <v>1452466</v>
      </c>
      <c r="T18" s="39"/>
      <c r="U18" s="1"/>
      <c r="V18" s="67"/>
      <c r="W18" s="67"/>
      <c r="X18" s="1"/>
      <c r="Y18" s="67"/>
      <c r="Z18" s="1"/>
      <c r="AA18" s="1"/>
    </row>
    <row r="19" spans="2:27" ht="25.15" customHeight="1" x14ac:dyDescent="0.2">
      <c r="B19" s="376">
        <v>2010</v>
      </c>
      <c r="C19" s="70">
        <v>77</v>
      </c>
      <c r="D19" s="70"/>
      <c r="E19" s="70">
        <v>6</v>
      </c>
      <c r="F19" s="70"/>
      <c r="G19" s="342">
        <f t="shared" si="0"/>
        <v>83</v>
      </c>
      <c r="H19" s="342"/>
      <c r="I19" s="248">
        <v>28677</v>
      </c>
      <c r="J19" s="248"/>
      <c r="K19" s="70">
        <v>1929</v>
      </c>
      <c r="L19" s="70"/>
      <c r="M19" s="342">
        <f t="shared" si="2"/>
        <v>30606</v>
      </c>
      <c r="N19" s="342"/>
      <c r="O19" s="248">
        <v>1217468</v>
      </c>
      <c r="P19" s="248"/>
      <c r="Q19" s="70">
        <v>61912</v>
      </c>
      <c r="R19" s="70"/>
      <c r="S19" s="342">
        <f t="shared" si="1"/>
        <v>1279380</v>
      </c>
      <c r="T19" s="39"/>
      <c r="U19" s="1"/>
      <c r="V19" s="67"/>
      <c r="W19" s="67"/>
      <c r="X19" s="1"/>
      <c r="Y19" s="67"/>
      <c r="Z19" s="1"/>
      <c r="AA19" s="1"/>
    </row>
    <row r="20" spans="2:27" ht="25.15" customHeight="1" x14ac:dyDescent="0.2">
      <c r="B20" s="376">
        <v>2011</v>
      </c>
      <c r="C20" s="70">
        <v>66</v>
      </c>
      <c r="D20" s="70"/>
      <c r="E20" s="70">
        <v>18</v>
      </c>
      <c r="F20" s="70"/>
      <c r="G20" s="342">
        <f t="shared" ref="G20:G27" si="3">SUM(C20:E20)</f>
        <v>84</v>
      </c>
      <c r="H20" s="342"/>
      <c r="I20" s="248">
        <v>23310</v>
      </c>
      <c r="J20" s="248"/>
      <c r="K20" s="70">
        <v>3460</v>
      </c>
      <c r="L20" s="70"/>
      <c r="M20" s="342">
        <f t="shared" si="2"/>
        <v>26770</v>
      </c>
      <c r="N20" s="342"/>
      <c r="O20" s="248">
        <v>1742616</v>
      </c>
      <c r="P20" s="248"/>
      <c r="Q20" s="70">
        <v>56800</v>
      </c>
      <c r="R20" s="70"/>
      <c r="S20" s="342">
        <f t="shared" si="1"/>
        <v>1799416</v>
      </c>
      <c r="T20" s="39"/>
      <c r="U20" s="1"/>
      <c r="V20" s="67"/>
      <c r="W20" s="67"/>
      <c r="X20" s="1"/>
      <c r="Y20" s="67"/>
      <c r="Z20" s="1"/>
      <c r="AA20" s="1"/>
    </row>
    <row r="21" spans="2:27" ht="25.15" customHeight="1" x14ac:dyDescent="0.2">
      <c r="B21" s="376">
        <v>2012</v>
      </c>
      <c r="C21" s="70">
        <v>65</v>
      </c>
      <c r="D21" s="70"/>
      <c r="E21" s="70">
        <v>24</v>
      </c>
      <c r="F21" s="70"/>
      <c r="G21" s="342">
        <f t="shared" si="3"/>
        <v>89</v>
      </c>
      <c r="H21" s="342"/>
      <c r="I21" s="248">
        <v>21740</v>
      </c>
      <c r="J21" s="248"/>
      <c r="K21" s="70">
        <v>4105</v>
      </c>
      <c r="L21" s="70"/>
      <c r="M21" s="342">
        <f>SUM(I21:K21)</f>
        <v>25845</v>
      </c>
      <c r="N21" s="342"/>
      <c r="O21" s="248">
        <v>1827426</v>
      </c>
      <c r="P21" s="248"/>
      <c r="Q21" s="70">
        <v>51270</v>
      </c>
      <c r="R21" s="70"/>
      <c r="S21" s="342">
        <f t="shared" si="1"/>
        <v>1878696</v>
      </c>
      <c r="T21" s="39"/>
      <c r="U21" s="1"/>
      <c r="V21" s="67"/>
      <c r="W21" s="67"/>
      <c r="X21" s="1"/>
      <c r="Y21" s="67"/>
      <c r="Z21" s="1"/>
      <c r="AA21" s="1"/>
    </row>
    <row r="22" spans="2:27" ht="25.15" customHeight="1" x14ac:dyDescent="0.2">
      <c r="B22" s="376">
        <v>2013</v>
      </c>
      <c r="C22" s="70">
        <v>89</v>
      </c>
      <c r="D22" s="70"/>
      <c r="E22" s="70">
        <v>5</v>
      </c>
      <c r="F22" s="70"/>
      <c r="G22" s="342">
        <f t="shared" si="3"/>
        <v>94</v>
      </c>
      <c r="H22" s="342"/>
      <c r="I22" s="248">
        <v>25934</v>
      </c>
      <c r="J22" s="248"/>
      <c r="K22" s="70">
        <v>802</v>
      </c>
      <c r="L22" s="70"/>
      <c r="M22" s="342">
        <f t="shared" si="2"/>
        <v>26736</v>
      </c>
      <c r="N22" s="342"/>
      <c r="O22" s="248">
        <v>1558106</v>
      </c>
      <c r="P22" s="248"/>
      <c r="Q22" s="70">
        <v>15096</v>
      </c>
      <c r="R22" s="70"/>
      <c r="S22" s="342">
        <f t="shared" si="1"/>
        <v>1573202</v>
      </c>
      <c r="T22" s="39"/>
      <c r="U22" s="1"/>
      <c r="V22" s="67"/>
      <c r="W22" s="67"/>
      <c r="X22" s="1"/>
      <c r="Y22" s="67"/>
      <c r="Z22" s="1"/>
      <c r="AA22" s="1"/>
    </row>
    <row r="23" spans="2:27" ht="25.15" customHeight="1" x14ac:dyDescent="0.2">
      <c r="B23" s="376">
        <v>2014</v>
      </c>
      <c r="C23" s="70">
        <v>88</v>
      </c>
      <c r="D23" s="70"/>
      <c r="E23" s="70">
        <v>7</v>
      </c>
      <c r="F23" s="70"/>
      <c r="G23" s="342">
        <f t="shared" si="3"/>
        <v>95</v>
      </c>
      <c r="H23" s="342"/>
      <c r="I23" s="248">
        <v>38118</v>
      </c>
      <c r="J23" s="248"/>
      <c r="K23" s="70">
        <v>2563</v>
      </c>
      <c r="L23" s="70"/>
      <c r="M23" s="342">
        <f t="shared" si="2"/>
        <v>40681</v>
      </c>
      <c r="N23" s="342"/>
      <c r="O23" s="248">
        <v>3112596</v>
      </c>
      <c r="P23" s="248"/>
      <c r="Q23" s="70">
        <v>40422</v>
      </c>
      <c r="R23" s="70"/>
      <c r="S23" s="342">
        <f t="shared" si="1"/>
        <v>3153018</v>
      </c>
      <c r="T23" s="39"/>
      <c r="U23" s="1"/>
      <c r="V23" s="67"/>
      <c r="W23" s="67"/>
      <c r="X23" s="1"/>
      <c r="Y23" s="67"/>
      <c r="Z23" s="1"/>
      <c r="AA23" s="1"/>
    </row>
    <row r="24" spans="2:27" ht="25.15" customHeight="1" x14ac:dyDescent="0.2">
      <c r="B24" s="376">
        <v>2015</v>
      </c>
      <c r="C24" s="70">
        <v>39</v>
      </c>
      <c r="D24" s="70"/>
      <c r="E24" s="70">
        <v>8</v>
      </c>
      <c r="F24" s="70"/>
      <c r="G24" s="342">
        <f t="shared" si="3"/>
        <v>47</v>
      </c>
      <c r="H24" s="342"/>
      <c r="I24" s="248">
        <v>29985</v>
      </c>
      <c r="J24" s="248"/>
      <c r="K24" s="70">
        <v>2081</v>
      </c>
      <c r="L24" s="70"/>
      <c r="M24" s="342">
        <f>SUM(I24:K24)</f>
        <v>32066</v>
      </c>
      <c r="N24" s="342"/>
      <c r="O24" s="248">
        <v>1862184</v>
      </c>
      <c r="P24" s="248"/>
      <c r="Q24" s="70">
        <v>63448</v>
      </c>
      <c r="R24" s="70"/>
      <c r="S24" s="342">
        <f>SUM(O24:Q24)</f>
        <v>1925632</v>
      </c>
      <c r="T24" s="39"/>
      <c r="U24" s="1"/>
      <c r="V24" s="67"/>
      <c r="W24" s="67"/>
      <c r="X24" s="1"/>
      <c r="Y24" s="67"/>
      <c r="Z24" s="1"/>
      <c r="AA24" s="1"/>
    </row>
    <row r="25" spans="2:27" ht="25.15" customHeight="1" x14ac:dyDescent="0.2">
      <c r="B25" s="376">
        <v>2016</v>
      </c>
      <c r="C25" s="70">
        <v>34</v>
      </c>
      <c r="D25" s="70"/>
      <c r="E25" s="70">
        <v>7</v>
      </c>
      <c r="F25" s="70"/>
      <c r="G25" s="342">
        <f t="shared" si="3"/>
        <v>41</v>
      </c>
      <c r="H25" s="342"/>
      <c r="I25" s="248">
        <v>17909</v>
      </c>
      <c r="J25" s="248"/>
      <c r="K25" s="70">
        <v>2554</v>
      </c>
      <c r="L25" s="70"/>
      <c r="M25" s="342">
        <f t="shared" si="2"/>
        <v>20463</v>
      </c>
      <c r="N25" s="342"/>
      <c r="O25" s="248">
        <v>2957808</v>
      </c>
      <c r="P25" s="248"/>
      <c r="Q25" s="70">
        <v>126248</v>
      </c>
      <c r="R25" s="70"/>
      <c r="S25" s="342">
        <f t="shared" si="1"/>
        <v>3084056</v>
      </c>
      <c r="T25" s="39"/>
      <c r="U25" s="1"/>
      <c r="V25" s="67"/>
      <c r="W25" s="67"/>
      <c r="X25" s="1"/>
      <c r="Y25" s="67"/>
      <c r="Z25" s="1"/>
      <c r="AA25" s="1"/>
    </row>
    <row r="26" spans="2:27" ht="25.5" customHeight="1" x14ac:dyDescent="0.2">
      <c r="B26" s="376">
        <v>2017</v>
      </c>
      <c r="C26" s="70">
        <v>39</v>
      </c>
      <c r="D26" s="70"/>
      <c r="E26" s="70">
        <v>6</v>
      </c>
      <c r="F26" s="70"/>
      <c r="G26" s="342">
        <f>SUM(C26:E26)</f>
        <v>45</v>
      </c>
      <c r="H26" s="342"/>
      <c r="I26" s="248">
        <v>55653</v>
      </c>
      <c r="J26" s="248"/>
      <c r="K26" s="70">
        <v>957</v>
      </c>
      <c r="L26" s="70"/>
      <c r="M26" s="342">
        <f>SUM(I26:K26)</f>
        <v>56610</v>
      </c>
      <c r="N26" s="342"/>
      <c r="O26" s="248">
        <v>2965606</v>
      </c>
      <c r="P26" s="248"/>
      <c r="Q26" s="70">
        <v>40888</v>
      </c>
      <c r="R26" s="70"/>
      <c r="S26" s="342">
        <f>SUM(O26:Q26)</f>
        <v>3006494</v>
      </c>
      <c r="T26" s="39"/>
      <c r="U26" s="1"/>
      <c r="V26" s="67"/>
      <c r="W26" s="67"/>
      <c r="X26" s="1"/>
      <c r="Y26" s="67"/>
      <c r="Z26" s="1"/>
      <c r="AA26" s="1"/>
    </row>
    <row r="27" spans="2:27" ht="25.5" customHeight="1" x14ac:dyDescent="0.2">
      <c r="B27" s="376">
        <v>2018</v>
      </c>
      <c r="C27" s="70">
        <v>47</v>
      </c>
      <c r="D27" s="70"/>
      <c r="E27" s="70">
        <v>7</v>
      </c>
      <c r="F27" s="70"/>
      <c r="G27" s="342">
        <f t="shared" si="3"/>
        <v>54</v>
      </c>
      <c r="H27" s="342"/>
      <c r="I27" s="248">
        <v>20686</v>
      </c>
      <c r="J27" s="248"/>
      <c r="K27" s="70">
        <f>560+250</f>
        <v>810</v>
      </c>
      <c r="L27" s="70"/>
      <c r="M27" s="342">
        <f t="shared" si="2"/>
        <v>21496</v>
      </c>
      <c r="N27" s="342"/>
      <c r="O27" s="248">
        <v>724184</v>
      </c>
      <c r="P27" s="248"/>
      <c r="Q27" s="70">
        <f>12680+2000</f>
        <v>14680</v>
      </c>
      <c r="R27" s="70"/>
      <c r="S27" s="342">
        <f t="shared" si="1"/>
        <v>738864</v>
      </c>
      <c r="T27" s="39"/>
      <c r="U27" s="1"/>
      <c r="V27" s="67"/>
      <c r="W27" s="67"/>
      <c r="X27" s="1"/>
      <c r="Y27" s="67"/>
      <c r="Z27" s="1"/>
      <c r="AA27" s="1"/>
    </row>
    <row r="28" spans="2:27" ht="25.5" customHeight="1" x14ac:dyDescent="0.2">
      <c r="B28" s="376">
        <v>2019</v>
      </c>
      <c r="C28" s="70">
        <v>41</v>
      </c>
      <c r="D28" s="70"/>
      <c r="E28" s="70">
        <v>26</v>
      </c>
      <c r="F28" s="70"/>
      <c r="G28" s="342">
        <f t="shared" ref="G28:G32" si="4">SUM(C28:E28)</f>
        <v>67</v>
      </c>
      <c r="H28" s="342"/>
      <c r="I28" s="248">
        <v>93586</v>
      </c>
      <c r="J28" s="248"/>
      <c r="K28" s="70">
        <v>16568</v>
      </c>
      <c r="L28" s="70"/>
      <c r="M28" s="342">
        <f t="shared" ref="M28:M33" si="5">SUM(I28:K28)</f>
        <v>110154</v>
      </c>
      <c r="N28" s="342"/>
      <c r="O28" s="248">
        <v>1434856</v>
      </c>
      <c r="P28" s="248"/>
      <c r="Q28" s="70">
        <v>651000</v>
      </c>
      <c r="R28" s="70"/>
      <c r="S28" s="342">
        <f t="shared" ref="S28:S33" si="6">SUM(O28:Q28)</f>
        <v>2085856</v>
      </c>
      <c r="T28" s="39"/>
      <c r="U28" s="1"/>
      <c r="V28" s="67"/>
      <c r="W28" s="67"/>
      <c r="X28" s="1"/>
      <c r="Y28" s="67"/>
      <c r="Z28" s="1"/>
      <c r="AA28" s="1"/>
    </row>
    <row r="29" spans="2:27" ht="25.5" customHeight="1" x14ac:dyDescent="0.2">
      <c r="B29" s="376">
        <v>2020</v>
      </c>
      <c r="C29" s="70">
        <v>23</v>
      </c>
      <c r="D29" s="70"/>
      <c r="E29" s="70">
        <v>0</v>
      </c>
      <c r="F29" s="70"/>
      <c r="G29" s="342">
        <f t="shared" si="4"/>
        <v>23</v>
      </c>
      <c r="H29" s="342"/>
      <c r="I29" s="248">
        <v>127868</v>
      </c>
      <c r="J29" s="248"/>
      <c r="K29" s="70">
        <v>0</v>
      </c>
      <c r="L29" s="70"/>
      <c r="M29" s="342">
        <f t="shared" si="5"/>
        <v>127868</v>
      </c>
      <c r="N29" s="342"/>
      <c r="O29" s="248">
        <v>3653184</v>
      </c>
      <c r="P29" s="248"/>
      <c r="Q29" s="70">
        <v>0</v>
      </c>
      <c r="R29" s="70"/>
      <c r="S29" s="342">
        <f t="shared" si="6"/>
        <v>3653184</v>
      </c>
      <c r="T29" s="39"/>
      <c r="U29" s="1"/>
      <c r="V29" s="67"/>
      <c r="W29" s="67"/>
      <c r="X29" s="1"/>
      <c r="Y29" s="67"/>
      <c r="Z29" s="1"/>
      <c r="AA29" s="1"/>
    </row>
    <row r="30" spans="2:27" ht="25.5" customHeight="1" x14ac:dyDescent="0.2">
      <c r="B30" s="376">
        <v>2021</v>
      </c>
      <c r="C30" s="70">
        <v>38</v>
      </c>
      <c r="D30" s="70"/>
      <c r="E30" s="70">
        <v>0</v>
      </c>
      <c r="F30" s="70"/>
      <c r="G30" s="342">
        <f t="shared" si="4"/>
        <v>38</v>
      </c>
      <c r="H30" s="342"/>
      <c r="I30" s="248">
        <v>209142</v>
      </c>
      <c r="J30" s="248"/>
      <c r="K30" s="70">
        <v>0</v>
      </c>
      <c r="L30" s="70"/>
      <c r="M30" s="342">
        <f t="shared" si="5"/>
        <v>209142</v>
      </c>
      <c r="N30" s="342"/>
      <c r="O30" s="248">
        <v>3027240</v>
      </c>
      <c r="P30" s="248"/>
      <c r="Q30" s="70">
        <v>0</v>
      </c>
      <c r="R30" s="70"/>
      <c r="S30" s="342">
        <f t="shared" si="6"/>
        <v>3027240</v>
      </c>
      <c r="T30" s="39"/>
      <c r="U30" s="1"/>
      <c r="V30" s="67"/>
      <c r="W30" s="67"/>
      <c r="X30" s="1"/>
      <c r="Y30" s="67"/>
      <c r="Z30" s="1"/>
      <c r="AA30" s="1"/>
    </row>
    <row r="31" spans="2:27" ht="25.5" customHeight="1" x14ac:dyDescent="0.2">
      <c r="B31" s="376">
        <v>2022</v>
      </c>
      <c r="C31" s="70">
        <v>41</v>
      </c>
      <c r="D31" s="70"/>
      <c r="E31" s="70">
        <v>0</v>
      </c>
      <c r="F31" s="70"/>
      <c r="G31" s="342">
        <f t="shared" si="4"/>
        <v>41</v>
      </c>
      <c r="H31" s="342"/>
      <c r="I31" s="248">
        <v>29145</v>
      </c>
      <c r="J31" s="248"/>
      <c r="K31" s="70">
        <v>0</v>
      </c>
      <c r="L31" s="70"/>
      <c r="M31" s="342">
        <f t="shared" si="5"/>
        <v>29145</v>
      </c>
      <c r="N31" s="342"/>
      <c r="O31" s="248">
        <v>2122932</v>
      </c>
      <c r="P31" s="248"/>
      <c r="Q31" s="70">
        <v>0</v>
      </c>
      <c r="R31" s="70"/>
      <c r="S31" s="342">
        <f t="shared" si="6"/>
        <v>2122932</v>
      </c>
      <c r="T31" s="39"/>
      <c r="U31" s="1"/>
      <c r="V31" s="67"/>
      <c r="W31" s="67"/>
      <c r="X31" s="1"/>
      <c r="Y31" s="67"/>
      <c r="Z31" s="1"/>
      <c r="AA31" s="1"/>
    </row>
    <row r="32" spans="2:27" ht="25.5" customHeight="1" x14ac:dyDescent="0.2">
      <c r="B32" s="376">
        <v>2023</v>
      </c>
      <c r="C32" s="70">
        <v>54</v>
      </c>
      <c r="D32" s="70"/>
      <c r="E32" s="70">
        <v>1</v>
      </c>
      <c r="F32" s="70"/>
      <c r="G32" s="342">
        <f t="shared" si="4"/>
        <v>55</v>
      </c>
      <c r="H32" s="342"/>
      <c r="I32" s="248">
        <v>77836</v>
      </c>
      <c r="J32" s="248"/>
      <c r="K32" s="70">
        <v>47</v>
      </c>
      <c r="L32" s="70"/>
      <c r="M32" s="342">
        <f t="shared" si="5"/>
        <v>77883</v>
      </c>
      <c r="N32" s="342"/>
      <c r="O32" s="248">
        <v>1461633</v>
      </c>
      <c r="P32" s="248"/>
      <c r="Q32" s="70">
        <v>376</v>
      </c>
      <c r="R32" s="70"/>
      <c r="S32" s="342">
        <f t="shared" si="6"/>
        <v>1462009</v>
      </c>
      <c r="T32" s="39"/>
      <c r="U32" s="1"/>
      <c r="V32" s="67"/>
      <c r="W32" s="67"/>
      <c r="X32" s="1"/>
      <c r="Y32" s="67"/>
      <c r="Z32" s="1"/>
      <c r="AA32" s="1"/>
    </row>
    <row r="33" spans="2:45" ht="25.5" customHeight="1" x14ac:dyDescent="0.2">
      <c r="B33" s="376">
        <v>2024</v>
      </c>
      <c r="C33" s="70">
        <v>61</v>
      </c>
      <c r="D33" s="70"/>
      <c r="E33" s="70">
        <v>2</v>
      </c>
      <c r="F33" s="70"/>
      <c r="G33" s="342">
        <f>SUM(C33:E33)</f>
        <v>63</v>
      </c>
      <c r="H33" s="342"/>
      <c r="I33" s="248">
        <v>76333</v>
      </c>
      <c r="J33" s="248"/>
      <c r="K33" s="70">
        <v>371</v>
      </c>
      <c r="L33" s="70"/>
      <c r="M33" s="342">
        <f t="shared" si="5"/>
        <v>76704</v>
      </c>
      <c r="N33" s="342"/>
      <c r="O33" s="248">
        <v>2292548</v>
      </c>
      <c r="P33" s="248"/>
      <c r="Q33" s="70">
        <v>2968</v>
      </c>
      <c r="R33" s="70"/>
      <c r="S33" s="342">
        <f t="shared" si="6"/>
        <v>2295516</v>
      </c>
      <c r="T33" s="39"/>
      <c r="U33" s="1"/>
      <c r="V33" s="67"/>
      <c r="W33" s="67"/>
      <c r="X33" s="1"/>
      <c r="Y33" s="67"/>
      <c r="Z33" s="1"/>
      <c r="AA33" s="1"/>
    </row>
    <row r="34" spans="2:45" ht="25.5" customHeight="1" x14ac:dyDescent="0.2">
      <c r="B34" s="376">
        <v>2025</v>
      </c>
      <c r="C34" s="70">
        <v>54</v>
      </c>
      <c r="D34" s="70"/>
      <c r="E34" s="70">
        <v>4</v>
      </c>
      <c r="F34" s="70"/>
      <c r="G34" s="342">
        <f>SUM(C34:E34)</f>
        <v>58</v>
      </c>
      <c r="H34" s="342"/>
      <c r="I34" s="248">
        <v>73326</v>
      </c>
      <c r="J34" s="248"/>
      <c r="K34" s="70">
        <v>1040</v>
      </c>
      <c r="L34" s="70"/>
      <c r="M34" s="342">
        <f t="shared" si="2"/>
        <v>74366</v>
      </c>
      <c r="N34" s="342"/>
      <c r="O34" s="248">
        <v>7767014</v>
      </c>
      <c r="P34" s="248"/>
      <c r="Q34" s="70">
        <v>14720</v>
      </c>
      <c r="R34" s="70"/>
      <c r="S34" s="342">
        <f t="shared" si="1"/>
        <v>7781734</v>
      </c>
      <c r="T34" s="39"/>
      <c r="U34" s="1"/>
      <c r="V34" s="67"/>
      <c r="W34" s="67"/>
      <c r="X34" s="1"/>
      <c r="Y34" s="67"/>
      <c r="Z34" s="1"/>
      <c r="AA34" s="1"/>
    </row>
    <row r="35" spans="2:45" ht="12.75" customHeight="1" x14ac:dyDescent="0.2">
      <c r="B35" s="376"/>
      <c r="C35" s="277"/>
      <c r="D35" s="277"/>
      <c r="E35" s="277"/>
      <c r="F35" s="277"/>
      <c r="G35" s="365"/>
      <c r="H35" s="365"/>
      <c r="I35" s="279"/>
      <c r="J35" s="279"/>
      <c r="K35" s="277"/>
      <c r="L35" s="277"/>
      <c r="M35" s="365"/>
      <c r="N35" s="365"/>
      <c r="O35" s="279"/>
      <c r="P35" s="279"/>
      <c r="Q35" s="277"/>
      <c r="R35" s="277"/>
      <c r="S35" s="365"/>
      <c r="T35" s="39"/>
      <c r="U35" s="1"/>
      <c r="V35" s="67"/>
      <c r="W35" s="67"/>
      <c r="X35" s="1"/>
      <c r="Y35" s="67"/>
      <c r="Z35" s="1"/>
      <c r="AA35" s="1"/>
    </row>
    <row r="36" spans="2:45" s="1" customFormat="1" ht="27" customHeight="1" x14ac:dyDescent="0.2">
      <c r="B36" s="5" t="s">
        <v>217</v>
      </c>
      <c r="C36" s="6"/>
      <c r="D36" s="6"/>
      <c r="E36" s="6"/>
      <c r="F36" s="6"/>
      <c r="G36" s="7"/>
      <c r="H36" s="6"/>
      <c r="I36" s="6"/>
      <c r="Y36" s="8"/>
      <c r="Z36" s="4"/>
      <c r="AA36" s="8"/>
      <c r="AB36" s="9"/>
      <c r="AC36" s="8"/>
      <c r="AD36" s="9"/>
    </row>
    <row r="37" spans="2:45" s="1" customFormat="1" ht="30" customHeight="1" x14ac:dyDescent="0.2">
      <c r="B37" s="10" t="s">
        <v>257</v>
      </c>
      <c r="C37" s="11"/>
      <c r="D37" s="11"/>
      <c r="E37" s="11"/>
      <c r="F37" s="11"/>
      <c r="G37" s="11"/>
      <c r="H37" s="12"/>
      <c r="I37" s="12"/>
      <c r="J37" s="12"/>
      <c r="K37" s="12"/>
      <c r="Z37" s="13"/>
      <c r="AA37" s="14"/>
      <c r="AB37" s="13"/>
      <c r="AC37" s="14"/>
      <c r="AD37" s="15"/>
    </row>
    <row r="38" spans="2:45" s="1" customFormat="1" ht="30" customHeight="1" x14ac:dyDescent="0.2">
      <c r="B38" s="16" t="s">
        <v>245</v>
      </c>
      <c r="D38" s="17"/>
      <c r="E38" s="18"/>
      <c r="F38" s="17"/>
      <c r="G38" s="19"/>
      <c r="H38" s="20"/>
      <c r="I38" s="21"/>
      <c r="J38" s="21"/>
    </row>
    <row r="39" spans="2:45" ht="42" customHeight="1" x14ac:dyDescent="0.2">
      <c r="B39" s="697" t="s">
        <v>215</v>
      </c>
      <c r="C39" s="697"/>
      <c r="D39" s="697"/>
      <c r="E39" s="697"/>
      <c r="F39" s="697"/>
      <c r="G39" s="697"/>
      <c r="H39" s="697"/>
      <c r="I39" s="697"/>
      <c r="J39" s="697"/>
      <c r="K39" s="697"/>
      <c r="L39" s="697"/>
      <c r="M39" s="697"/>
      <c r="N39" s="697"/>
      <c r="O39" s="697"/>
      <c r="P39" s="697"/>
      <c r="Q39" s="697"/>
      <c r="R39" s="697"/>
      <c r="S39" s="697"/>
      <c r="T39" s="697"/>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row>
  </sheetData>
  <mergeCells count="25">
    <mergeCell ref="B1:T1"/>
    <mergeCell ref="B39:T39"/>
    <mergeCell ref="C5:H5"/>
    <mergeCell ref="I5:N5"/>
    <mergeCell ref="B2:S2"/>
    <mergeCell ref="B5:B7"/>
    <mergeCell ref="M6:N7"/>
    <mergeCell ref="O6:P6"/>
    <mergeCell ref="Q6:R6"/>
    <mergeCell ref="S6:T7"/>
    <mergeCell ref="C7:D7"/>
    <mergeCell ref="E7:F7"/>
    <mergeCell ref="I7:J7"/>
    <mergeCell ref="K7:L7"/>
    <mergeCell ref="O7:P7"/>
    <mergeCell ref="Q7:R7"/>
    <mergeCell ref="V3:Z3"/>
    <mergeCell ref="O5:T5"/>
    <mergeCell ref="B3:T3"/>
    <mergeCell ref="B4:T4"/>
    <mergeCell ref="E6:F6"/>
    <mergeCell ref="G6:H7"/>
    <mergeCell ref="I6:J6"/>
    <mergeCell ref="K6:L6"/>
    <mergeCell ref="C6:D6"/>
  </mergeCells>
  <phoneticPr fontId="2" type="noConversion"/>
  <printOptions horizontalCentered="1" verticalCentered="1"/>
  <pageMargins left="0" right="0" top="0" bottom="0" header="0" footer="0"/>
  <pageSetup paperSize="9" scale="52" orientation="landscape" r:id="rId1"/>
  <headerFooter alignWithMargins="0"/>
  <ignoredErrors>
    <ignoredError sqref="G9:G27 G28:G32" formulaRange="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sheetPr>
  <dimension ref="B2:BD67"/>
  <sheetViews>
    <sheetView showGridLines="0" topLeftCell="A19" zoomScale="40" zoomScaleNormal="40" zoomScaleSheetLayoutView="30" workbookViewId="0">
      <selection activeCell="BA62" sqref="BA62"/>
    </sheetView>
  </sheetViews>
  <sheetFormatPr baseColWidth="10" defaultColWidth="11.42578125" defaultRowHeight="27" x14ac:dyDescent="0.35"/>
  <cols>
    <col min="1" max="1" width="8.28515625" style="38" customWidth="1"/>
    <col min="2" max="2" width="2.28515625" style="38" customWidth="1"/>
    <col min="3" max="3" width="57.85546875" style="32" customWidth="1"/>
    <col min="4" max="4" width="20.7109375" style="38" customWidth="1"/>
    <col min="5" max="5" width="3.28515625" style="635" customWidth="1"/>
    <col min="6" max="6" width="20.5703125" style="38" customWidth="1"/>
    <col min="7" max="7" width="4.42578125" style="38" customWidth="1"/>
    <col min="8" max="8" width="20.5703125" style="38" customWidth="1"/>
    <col min="9" max="9" width="4.5703125" style="38" customWidth="1"/>
    <col min="10" max="10" width="20.5703125" style="38" customWidth="1"/>
    <col min="11" max="11" width="4.5703125" style="38" customWidth="1"/>
    <col min="12" max="12" width="20.7109375" style="38" customWidth="1"/>
    <col min="13" max="13" width="3.7109375" style="38" customWidth="1"/>
    <col min="14" max="14" width="20.7109375" style="38" customWidth="1"/>
    <col min="15" max="15" width="4.140625" style="38" customWidth="1"/>
    <col min="16" max="16" width="20.5703125" style="38" customWidth="1"/>
    <col min="17" max="17" width="4.7109375" style="38" customWidth="1"/>
    <col min="18" max="18" width="20.5703125" style="38" customWidth="1"/>
    <col min="19" max="19" width="4.5703125" style="38" customWidth="1"/>
    <col min="20" max="20" width="20.5703125" style="38" customWidth="1"/>
    <col min="21" max="21" width="4.7109375" style="38" customWidth="1"/>
    <col min="22" max="22" width="20.7109375" style="38" customWidth="1"/>
    <col min="23" max="23" width="5.7109375" style="38" customWidth="1"/>
    <col min="24" max="24" width="20.85546875" style="38" customWidth="1"/>
    <col min="25" max="25" width="5.7109375" style="38" customWidth="1"/>
    <col min="26" max="26" width="20.85546875" style="38" customWidth="1"/>
    <col min="27" max="27" width="5.7109375" style="38" customWidth="1"/>
    <col min="28" max="28" width="20.5703125" style="38" customWidth="1"/>
    <col min="29" max="29" width="5.7109375" style="38" customWidth="1"/>
    <col min="30" max="30" width="20.85546875" style="38" customWidth="1"/>
    <col min="31" max="31" width="5.7109375" style="38" customWidth="1"/>
    <col min="32" max="32" width="20.7109375" style="38" customWidth="1"/>
    <col min="33" max="33" width="5.7109375" style="38" customWidth="1"/>
    <col min="34" max="34" width="20.7109375" style="38" customWidth="1"/>
    <col min="35" max="35" width="5.7109375" style="38" customWidth="1"/>
    <col min="36" max="36" width="20.85546875" style="38" customWidth="1"/>
    <col min="37" max="37" width="4.28515625" style="38" customWidth="1"/>
    <col min="38" max="38" width="20.7109375" style="38" customWidth="1"/>
    <col min="39" max="39" width="5.7109375" style="38" customWidth="1"/>
    <col min="40" max="40" width="20.7109375" style="38" customWidth="1"/>
    <col min="41" max="41" width="5.7109375" style="38" customWidth="1"/>
    <col min="42" max="42" width="20.85546875" style="38" customWidth="1"/>
    <col min="43" max="43" width="4.7109375" style="38" customWidth="1"/>
    <col min="44" max="44" width="20.85546875" style="38" customWidth="1"/>
    <col min="45" max="45" width="4" style="38" customWidth="1"/>
    <col min="46" max="46" width="20.85546875" style="38" customWidth="1"/>
    <col min="47" max="47" width="2.28515625" style="38" customWidth="1"/>
    <col min="48" max="48" width="24.5703125" style="38" customWidth="1"/>
    <col min="49" max="49" width="19.7109375" style="38" customWidth="1"/>
    <col min="50" max="50" width="20.28515625" style="38" bestFit="1" customWidth="1"/>
    <col min="51" max="51" width="11.42578125" style="38"/>
    <col min="52" max="52" width="19.28515625" style="38" customWidth="1"/>
    <col min="53" max="53" width="17.7109375" style="38" customWidth="1"/>
    <col min="54" max="54" width="25.28515625" style="38" customWidth="1"/>
    <col min="55" max="55" width="11.7109375" style="38" customWidth="1"/>
    <col min="56" max="16384" width="11.42578125" style="38"/>
  </cols>
  <sheetData>
    <row r="2" spans="2:54" s="192" customFormat="1" ht="35.25" customHeight="1" x14ac:dyDescent="0.4">
      <c r="B2" s="871" t="s">
        <v>170</v>
      </c>
      <c r="C2" s="871"/>
      <c r="D2" s="871"/>
      <c r="E2" s="871"/>
      <c r="F2" s="871"/>
      <c r="G2" s="871"/>
      <c r="H2" s="871"/>
      <c r="I2" s="871"/>
      <c r="J2" s="871"/>
      <c r="K2" s="871"/>
      <c r="L2" s="871"/>
      <c r="M2" s="871"/>
      <c r="N2" s="871"/>
      <c r="O2" s="871"/>
      <c r="P2" s="871"/>
      <c r="Q2" s="871"/>
      <c r="R2" s="871"/>
      <c r="S2" s="871"/>
      <c r="T2" s="871"/>
      <c r="U2" s="871"/>
      <c r="V2" s="871"/>
      <c r="W2" s="871"/>
      <c r="X2" s="871"/>
      <c r="Y2" s="871"/>
      <c r="Z2" s="871"/>
      <c r="AA2" s="871"/>
      <c r="AB2" s="871"/>
      <c r="AC2" s="871"/>
      <c r="AD2" s="871"/>
      <c r="AE2" s="871"/>
      <c r="AF2" s="871"/>
      <c r="AG2" s="871"/>
      <c r="AH2" s="871"/>
      <c r="AI2" s="871"/>
      <c r="AJ2" s="871"/>
      <c r="AK2" s="871"/>
      <c r="AL2" s="871"/>
      <c r="AM2" s="871"/>
      <c r="AN2" s="871"/>
      <c r="AO2" s="871"/>
      <c r="AP2" s="871"/>
      <c r="AQ2" s="871"/>
      <c r="AR2" s="871"/>
      <c r="AS2" s="871"/>
      <c r="AT2" s="871"/>
      <c r="AU2" s="871"/>
      <c r="AV2" s="871"/>
      <c r="AW2" s="871"/>
      <c r="AX2" s="871"/>
      <c r="AY2" s="871"/>
    </row>
    <row r="3" spans="2:54" s="183" customFormat="1" ht="30" customHeight="1" x14ac:dyDescent="0.2">
      <c r="B3" s="878" t="s">
        <v>145</v>
      </c>
      <c r="C3" s="878"/>
      <c r="D3" s="878"/>
      <c r="E3" s="878"/>
      <c r="F3" s="878"/>
      <c r="G3" s="878"/>
      <c r="H3" s="878"/>
      <c r="I3" s="878"/>
      <c r="J3" s="878"/>
      <c r="K3" s="878"/>
      <c r="L3" s="878"/>
      <c r="M3" s="878"/>
      <c r="N3" s="878"/>
      <c r="O3" s="878"/>
      <c r="P3" s="878"/>
      <c r="Q3" s="878"/>
      <c r="R3" s="878"/>
      <c r="S3" s="878"/>
      <c r="T3" s="878"/>
      <c r="U3" s="878"/>
      <c r="V3" s="878"/>
      <c r="W3" s="878"/>
      <c r="X3" s="878"/>
      <c r="Y3" s="878"/>
      <c r="Z3" s="878"/>
      <c r="AA3" s="878"/>
      <c r="AB3" s="878"/>
      <c r="AC3" s="878"/>
      <c r="AD3" s="878"/>
      <c r="AE3" s="878"/>
      <c r="AF3" s="878"/>
      <c r="AG3" s="878"/>
      <c r="AH3" s="878"/>
      <c r="AI3" s="878"/>
      <c r="AJ3" s="878"/>
      <c r="AK3" s="878"/>
      <c r="AL3" s="878"/>
      <c r="AM3" s="878"/>
      <c r="AN3" s="878"/>
      <c r="AO3" s="878"/>
      <c r="AP3" s="878"/>
      <c r="AQ3" s="878"/>
      <c r="AR3" s="878"/>
      <c r="AS3" s="878"/>
      <c r="AT3" s="878"/>
      <c r="AU3" s="878"/>
      <c r="AV3" s="207"/>
      <c r="AW3" s="207"/>
      <c r="AX3" s="207"/>
      <c r="AY3" s="207"/>
    </row>
    <row r="4" spans="2:54" s="183" customFormat="1" ht="47.25" customHeight="1" x14ac:dyDescent="0.2">
      <c r="B4" s="872" t="s">
        <v>160</v>
      </c>
      <c r="C4" s="872"/>
      <c r="D4" s="872"/>
      <c r="E4" s="872"/>
      <c r="F4" s="872"/>
      <c r="G4" s="872"/>
      <c r="H4" s="872"/>
      <c r="I4" s="872"/>
      <c r="J4" s="872"/>
      <c r="K4" s="872"/>
      <c r="L4" s="872"/>
      <c r="M4" s="872"/>
      <c r="N4" s="872"/>
      <c r="O4" s="872"/>
      <c r="P4" s="872"/>
      <c r="Q4" s="872"/>
      <c r="R4" s="872"/>
      <c r="S4" s="872"/>
      <c r="T4" s="872"/>
      <c r="U4" s="872"/>
      <c r="V4" s="872"/>
      <c r="W4" s="872"/>
      <c r="X4" s="872"/>
      <c r="Y4" s="872"/>
      <c r="Z4" s="872"/>
      <c r="AA4" s="872"/>
      <c r="AB4" s="872"/>
      <c r="AC4" s="872"/>
      <c r="AD4" s="872"/>
      <c r="AE4" s="872"/>
      <c r="AF4" s="872"/>
      <c r="AG4" s="872"/>
      <c r="AH4" s="872"/>
      <c r="AI4" s="872"/>
      <c r="AJ4" s="872"/>
      <c r="AK4" s="872"/>
      <c r="AL4" s="872"/>
      <c r="AM4" s="872"/>
      <c r="AN4" s="872"/>
      <c r="AO4" s="872"/>
      <c r="AP4" s="872"/>
      <c r="AQ4" s="872"/>
      <c r="AR4" s="872"/>
      <c r="AS4" s="872"/>
      <c r="AT4" s="872"/>
      <c r="AU4" s="872"/>
      <c r="AV4" s="872"/>
      <c r="AW4" s="872"/>
      <c r="AX4" s="872"/>
      <c r="AY4" s="872"/>
    </row>
    <row r="5" spans="2:54" s="183" customFormat="1" ht="52.9" customHeight="1" x14ac:dyDescent="0.2">
      <c r="B5" s="872">
        <v>2025</v>
      </c>
      <c r="C5" s="872"/>
      <c r="D5" s="872"/>
      <c r="E5" s="872"/>
      <c r="F5" s="872"/>
      <c r="G5" s="872"/>
      <c r="H5" s="872"/>
      <c r="I5" s="872"/>
      <c r="J5" s="872"/>
      <c r="K5" s="872"/>
      <c r="L5" s="872"/>
      <c r="M5" s="872"/>
      <c r="N5" s="872"/>
      <c r="O5" s="872"/>
      <c r="P5" s="872"/>
      <c r="Q5" s="872"/>
      <c r="R5" s="872"/>
      <c r="S5" s="872"/>
      <c r="T5" s="872"/>
      <c r="U5" s="872"/>
      <c r="V5" s="872"/>
      <c r="W5" s="872"/>
      <c r="X5" s="872"/>
      <c r="Y5" s="872"/>
      <c r="Z5" s="872"/>
      <c r="AA5" s="872"/>
      <c r="AB5" s="872"/>
      <c r="AC5" s="872"/>
      <c r="AD5" s="872"/>
      <c r="AE5" s="872"/>
      <c r="AF5" s="872"/>
      <c r="AG5" s="872"/>
      <c r="AH5" s="872"/>
      <c r="AI5" s="872"/>
      <c r="AJ5" s="872"/>
      <c r="AK5" s="872"/>
      <c r="AL5" s="872"/>
      <c r="AM5" s="872"/>
      <c r="AN5" s="872"/>
      <c r="AO5" s="872"/>
      <c r="AP5" s="872"/>
      <c r="AQ5" s="872"/>
      <c r="AR5" s="872"/>
      <c r="AS5" s="872"/>
      <c r="AT5" s="872"/>
      <c r="AU5" s="872"/>
      <c r="AV5" s="872"/>
      <c r="AW5" s="872"/>
      <c r="AX5" s="872"/>
      <c r="AY5" s="872"/>
    </row>
    <row r="6" spans="2:54" s="84" customFormat="1" ht="60" customHeight="1" thickBot="1" x14ac:dyDescent="0.25">
      <c r="B6" s="870" t="s">
        <v>24</v>
      </c>
      <c r="C6" s="870"/>
      <c r="D6" s="873" t="s">
        <v>192</v>
      </c>
      <c r="E6" s="874"/>
      <c r="F6" s="874"/>
      <c r="G6" s="874"/>
      <c r="H6" s="874"/>
      <c r="I6" s="874"/>
      <c r="J6" s="874"/>
      <c r="K6" s="874"/>
      <c r="L6" s="874"/>
      <c r="M6" s="874"/>
      <c r="N6" s="874"/>
      <c r="O6" s="874"/>
      <c r="P6" s="874"/>
      <c r="Q6" s="874"/>
      <c r="R6" s="874"/>
      <c r="S6" s="874"/>
      <c r="T6" s="874"/>
      <c r="U6" s="874"/>
      <c r="V6" s="874"/>
      <c r="W6" s="874"/>
      <c r="X6" s="874"/>
      <c r="Y6" s="874"/>
      <c r="Z6" s="874"/>
      <c r="AA6" s="874"/>
      <c r="AB6" s="874"/>
      <c r="AC6" s="874"/>
      <c r="AD6" s="874"/>
      <c r="AE6" s="874"/>
      <c r="AF6" s="874"/>
      <c r="AG6" s="874"/>
      <c r="AH6" s="874"/>
      <c r="AI6" s="874"/>
      <c r="AJ6" s="874"/>
      <c r="AK6" s="874"/>
      <c r="AL6" s="874"/>
      <c r="AM6" s="874"/>
      <c r="AN6" s="874"/>
      <c r="AO6" s="874"/>
      <c r="AP6" s="874"/>
      <c r="AQ6" s="874"/>
      <c r="AR6" s="874"/>
      <c r="AS6" s="874"/>
      <c r="AT6" s="874"/>
      <c r="AU6" s="875"/>
      <c r="AV6" s="867" t="s">
        <v>86</v>
      </c>
      <c r="AW6" s="835"/>
      <c r="AX6" s="835"/>
      <c r="AY6" s="835"/>
    </row>
    <row r="7" spans="2:54" s="84" customFormat="1" ht="98.25" customHeight="1" thickBot="1" x14ac:dyDescent="0.25">
      <c r="B7" s="870"/>
      <c r="C7" s="870"/>
      <c r="D7" s="880" t="s">
        <v>228</v>
      </c>
      <c r="E7" s="869"/>
      <c r="F7" s="869"/>
      <c r="G7" s="869"/>
      <c r="H7" s="869" t="s">
        <v>161</v>
      </c>
      <c r="I7" s="869"/>
      <c r="J7" s="869"/>
      <c r="K7" s="869"/>
      <c r="L7" s="869" t="s">
        <v>265</v>
      </c>
      <c r="M7" s="869"/>
      <c r="N7" s="869"/>
      <c r="O7" s="869"/>
      <c r="P7" s="869" t="s">
        <v>229</v>
      </c>
      <c r="Q7" s="869"/>
      <c r="R7" s="869"/>
      <c r="S7" s="869"/>
      <c r="T7" s="869" t="s">
        <v>109</v>
      </c>
      <c r="U7" s="869"/>
      <c r="V7" s="869"/>
      <c r="W7" s="869"/>
      <c r="X7" s="869" t="s">
        <v>230</v>
      </c>
      <c r="Y7" s="869"/>
      <c r="Z7" s="869"/>
      <c r="AA7" s="869"/>
      <c r="AB7" s="869" t="s">
        <v>110</v>
      </c>
      <c r="AC7" s="869"/>
      <c r="AD7" s="869"/>
      <c r="AE7" s="869"/>
      <c r="AF7" s="869" t="s">
        <v>237</v>
      </c>
      <c r="AG7" s="869"/>
      <c r="AH7" s="869"/>
      <c r="AI7" s="869"/>
      <c r="AJ7" s="869" t="s">
        <v>19</v>
      </c>
      <c r="AK7" s="869"/>
      <c r="AL7" s="869"/>
      <c r="AM7" s="869"/>
      <c r="AN7" s="869" t="s">
        <v>236</v>
      </c>
      <c r="AO7" s="869"/>
      <c r="AP7" s="869"/>
      <c r="AQ7" s="879"/>
      <c r="AR7" s="869" t="s">
        <v>297</v>
      </c>
      <c r="AS7" s="869"/>
      <c r="AT7" s="869"/>
      <c r="AU7" s="879"/>
      <c r="AV7" s="836"/>
      <c r="AW7" s="837"/>
      <c r="AX7" s="837"/>
      <c r="AY7" s="837"/>
    </row>
    <row r="8" spans="2:54" s="84" customFormat="1" ht="63" customHeight="1" x14ac:dyDescent="0.2">
      <c r="B8" s="870"/>
      <c r="C8" s="870"/>
      <c r="D8" s="877" t="s">
        <v>162</v>
      </c>
      <c r="E8" s="868"/>
      <c r="F8" s="868" t="s">
        <v>163</v>
      </c>
      <c r="G8" s="868"/>
      <c r="H8" s="868" t="s">
        <v>162</v>
      </c>
      <c r="I8" s="868"/>
      <c r="J8" s="868" t="s">
        <v>163</v>
      </c>
      <c r="K8" s="868"/>
      <c r="L8" s="868" t="s">
        <v>162</v>
      </c>
      <c r="M8" s="868"/>
      <c r="N8" s="868" t="s">
        <v>163</v>
      </c>
      <c r="O8" s="868"/>
      <c r="P8" s="868" t="s">
        <v>162</v>
      </c>
      <c r="Q8" s="868"/>
      <c r="R8" s="868" t="s">
        <v>163</v>
      </c>
      <c r="S8" s="868"/>
      <c r="T8" s="868" t="s">
        <v>162</v>
      </c>
      <c r="U8" s="868"/>
      <c r="V8" s="868" t="s">
        <v>163</v>
      </c>
      <c r="W8" s="868"/>
      <c r="X8" s="868" t="s">
        <v>162</v>
      </c>
      <c r="Y8" s="868"/>
      <c r="Z8" s="868" t="s">
        <v>163</v>
      </c>
      <c r="AA8" s="868"/>
      <c r="AB8" s="868" t="s">
        <v>162</v>
      </c>
      <c r="AC8" s="868"/>
      <c r="AD8" s="868" t="s">
        <v>163</v>
      </c>
      <c r="AE8" s="868"/>
      <c r="AF8" s="868" t="s">
        <v>162</v>
      </c>
      <c r="AG8" s="868"/>
      <c r="AH8" s="868" t="s">
        <v>163</v>
      </c>
      <c r="AI8" s="868"/>
      <c r="AJ8" s="868" t="s">
        <v>162</v>
      </c>
      <c r="AK8" s="868"/>
      <c r="AL8" s="868" t="s">
        <v>163</v>
      </c>
      <c r="AM8" s="868"/>
      <c r="AN8" s="868" t="s">
        <v>162</v>
      </c>
      <c r="AO8" s="868"/>
      <c r="AP8" s="868" t="s">
        <v>163</v>
      </c>
      <c r="AQ8" s="868"/>
      <c r="AR8" s="868" t="s">
        <v>162</v>
      </c>
      <c r="AS8" s="868"/>
      <c r="AT8" s="868" t="s">
        <v>163</v>
      </c>
      <c r="AU8" s="876"/>
      <c r="AV8" s="833" t="s">
        <v>63</v>
      </c>
      <c r="AW8" s="833"/>
      <c r="AX8" s="833" t="s">
        <v>5</v>
      </c>
      <c r="AY8" s="833"/>
    </row>
    <row r="9" spans="2:54" s="3" customFormat="1" ht="30" customHeight="1" x14ac:dyDescent="0.2">
      <c r="B9" s="476"/>
      <c r="C9" s="504" t="s">
        <v>25</v>
      </c>
      <c r="D9" s="505"/>
      <c r="E9" s="622"/>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366"/>
      <c r="AV9" s="490"/>
      <c r="AW9" s="490"/>
      <c r="AX9" s="491"/>
      <c r="AY9" s="492"/>
      <c r="AZ9" s="367"/>
      <c r="BA9" s="194"/>
      <c r="BB9" s="7"/>
    </row>
    <row r="10" spans="2:54" s="3" customFormat="1" ht="30" customHeight="1" x14ac:dyDescent="0.2">
      <c r="B10" s="476"/>
      <c r="C10" s="506" t="s">
        <v>2</v>
      </c>
      <c r="D10" s="337">
        <v>0</v>
      </c>
      <c r="E10" s="621"/>
      <c r="F10" s="337">
        <v>0</v>
      </c>
      <c r="G10" s="337"/>
      <c r="H10" s="337">
        <v>0</v>
      </c>
      <c r="I10" s="337"/>
      <c r="J10" s="337">
        <v>0</v>
      </c>
      <c r="K10" s="337"/>
      <c r="L10" s="337">
        <v>0</v>
      </c>
      <c r="M10" s="337"/>
      <c r="N10" s="337">
        <v>0</v>
      </c>
      <c r="O10" s="337"/>
      <c r="P10" s="337">
        <v>0</v>
      </c>
      <c r="Q10" s="337"/>
      <c r="R10" s="337">
        <v>0</v>
      </c>
      <c r="S10" s="337"/>
      <c r="T10" s="337">
        <v>0</v>
      </c>
      <c r="U10" s="337"/>
      <c r="V10" s="337">
        <v>1</v>
      </c>
      <c r="W10" s="337"/>
      <c r="X10" s="624">
        <v>0</v>
      </c>
      <c r="Y10" s="624"/>
      <c r="Z10" s="624">
        <v>0</v>
      </c>
      <c r="AA10" s="624"/>
      <c r="AB10" s="624">
        <v>0</v>
      </c>
      <c r="AC10" s="624"/>
      <c r="AD10" s="624">
        <v>0</v>
      </c>
      <c r="AE10" s="624"/>
      <c r="AF10" s="624">
        <v>0</v>
      </c>
      <c r="AG10" s="625"/>
      <c r="AH10" s="625">
        <v>1</v>
      </c>
      <c r="AI10" s="337"/>
      <c r="AJ10" s="337">
        <v>0</v>
      </c>
      <c r="AK10" s="337"/>
      <c r="AL10" s="337">
        <v>0</v>
      </c>
      <c r="AM10" s="337"/>
      <c r="AN10" s="337">
        <v>0</v>
      </c>
      <c r="AO10" s="337"/>
      <c r="AP10" s="337">
        <v>0</v>
      </c>
      <c r="AQ10" s="337"/>
      <c r="AR10" s="337">
        <v>0</v>
      </c>
      <c r="AS10" s="337"/>
      <c r="AT10" s="337">
        <v>0</v>
      </c>
      <c r="AU10" s="368"/>
      <c r="AV10" s="489">
        <f>SUM(D10:AU10)</f>
        <v>2</v>
      </c>
      <c r="AW10" s="489"/>
      <c r="AX10" s="493">
        <f>AV10/AV58*100</f>
        <v>3.4482758620689653</v>
      </c>
      <c r="AY10" s="488"/>
      <c r="AZ10" s="19"/>
      <c r="BA10" s="19"/>
      <c r="BB10" s="195"/>
    </row>
    <row r="11" spans="2:54" s="3" customFormat="1" ht="30" customHeight="1" x14ac:dyDescent="0.2">
      <c r="B11" s="476"/>
      <c r="C11" s="506" t="s">
        <v>15</v>
      </c>
      <c r="D11" s="337">
        <v>0</v>
      </c>
      <c r="E11" s="621"/>
      <c r="F11" s="337">
        <v>0</v>
      </c>
      <c r="G11" s="337"/>
      <c r="H11" s="337">
        <v>0</v>
      </c>
      <c r="I11" s="337"/>
      <c r="J11" s="337">
        <v>0</v>
      </c>
      <c r="K11" s="337"/>
      <c r="L11" s="337">
        <v>0</v>
      </c>
      <c r="M11" s="337"/>
      <c r="N11" s="337">
        <v>0</v>
      </c>
      <c r="O11" s="337"/>
      <c r="P11" s="337">
        <v>0</v>
      </c>
      <c r="Q11" s="337"/>
      <c r="R11" s="337">
        <v>0</v>
      </c>
      <c r="S11" s="337"/>
      <c r="T11" s="337">
        <v>0</v>
      </c>
      <c r="U11" s="337"/>
      <c r="V11" s="337">
        <v>40</v>
      </c>
      <c r="W11" s="337"/>
      <c r="X11" s="624">
        <v>0</v>
      </c>
      <c r="Y11" s="624"/>
      <c r="Z11" s="624">
        <v>0</v>
      </c>
      <c r="AA11" s="624"/>
      <c r="AB11" s="624">
        <v>0</v>
      </c>
      <c r="AC11" s="624"/>
      <c r="AD11" s="624">
        <v>0</v>
      </c>
      <c r="AE11" s="624"/>
      <c r="AF11" s="624">
        <v>0</v>
      </c>
      <c r="AG11" s="625"/>
      <c r="AH11" s="625">
        <v>20</v>
      </c>
      <c r="AI11" s="337"/>
      <c r="AJ11" s="337">
        <v>0</v>
      </c>
      <c r="AK11" s="337"/>
      <c r="AL11" s="337">
        <v>0</v>
      </c>
      <c r="AM11" s="337"/>
      <c r="AN11" s="337">
        <v>0</v>
      </c>
      <c r="AO11" s="337"/>
      <c r="AP11" s="337">
        <v>0</v>
      </c>
      <c r="AQ11" s="337"/>
      <c r="AR11" s="337">
        <v>0</v>
      </c>
      <c r="AS11" s="337"/>
      <c r="AT11" s="337">
        <v>0</v>
      </c>
      <c r="AU11" s="368"/>
      <c r="AV11" s="489">
        <f>SUM(D11:AU11)</f>
        <v>60</v>
      </c>
      <c r="AW11" s="489"/>
      <c r="AX11" s="493">
        <f>AV11/AV59*100</f>
        <v>8.0682032111448782E-2</v>
      </c>
      <c r="AY11" s="488"/>
      <c r="AZ11" s="19"/>
      <c r="BA11" s="19"/>
      <c r="BB11" s="195"/>
    </row>
    <row r="12" spans="2:54" s="3" customFormat="1" ht="30" customHeight="1" x14ac:dyDescent="0.2">
      <c r="B12" s="476"/>
      <c r="C12" s="506" t="s">
        <v>16</v>
      </c>
      <c r="D12" s="337">
        <v>0</v>
      </c>
      <c r="E12" s="621"/>
      <c r="F12" s="337">
        <v>0</v>
      </c>
      <c r="G12" s="337"/>
      <c r="H12" s="337">
        <v>44760</v>
      </c>
      <c r="I12" s="337" t="s">
        <v>62</v>
      </c>
      <c r="J12" s="337">
        <v>0</v>
      </c>
      <c r="K12" s="333"/>
      <c r="L12" s="337">
        <v>21960</v>
      </c>
      <c r="M12" s="337" t="s">
        <v>62</v>
      </c>
      <c r="N12" s="337">
        <v>0</v>
      </c>
      <c r="O12" s="337"/>
      <c r="P12" s="337">
        <v>0</v>
      </c>
      <c r="Q12" s="337"/>
      <c r="R12" s="337">
        <v>0</v>
      </c>
      <c r="S12" s="337"/>
      <c r="T12" s="337">
        <v>0</v>
      </c>
      <c r="U12" s="337"/>
      <c r="V12" s="337">
        <v>2880</v>
      </c>
      <c r="W12" s="337"/>
      <c r="X12" s="624">
        <v>0</v>
      </c>
      <c r="Y12" s="626"/>
      <c r="Z12" s="624">
        <v>0</v>
      </c>
      <c r="AA12" s="624"/>
      <c r="AB12" s="624">
        <v>0</v>
      </c>
      <c r="AC12" s="624"/>
      <c r="AD12" s="624">
        <v>0</v>
      </c>
      <c r="AE12" s="624"/>
      <c r="AF12" s="624">
        <v>0</v>
      </c>
      <c r="AG12" s="625"/>
      <c r="AH12" s="625">
        <v>6432</v>
      </c>
      <c r="AI12" s="337"/>
      <c r="AJ12" s="337">
        <v>0</v>
      </c>
      <c r="AK12" s="337"/>
      <c r="AL12" s="337">
        <v>0</v>
      </c>
      <c r="AM12" s="337"/>
      <c r="AN12" s="337">
        <v>0</v>
      </c>
      <c r="AO12" s="337"/>
      <c r="AP12" s="337">
        <v>0</v>
      </c>
      <c r="AQ12" s="337"/>
      <c r="AR12" s="337">
        <v>0</v>
      </c>
      <c r="AS12" s="337"/>
      <c r="AT12" s="337">
        <v>0</v>
      </c>
      <c r="AU12" s="368"/>
      <c r="AV12" s="489">
        <f>SUM(D12:AU12)</f>
        <v>76032</v>
      </c>
      <c r="AW12" s="489"/>
      <c r="AX12" s="493">
        <f>AV12/AV60*100</f>
        <v>0.97705729854040235</v>
      </c>
      <c r="AY12" s="488"/>
      <c r="AZ12" s="19"/>
      <c r="BA12" s="19"/>
      <c r="BB12" s="195"/>
    </row>
    <row r="13" spans="2:54" s="3" customFormat="1" ht="30" customHeight="1" x14ac:dyDescent="0.2">
      <c r="B13" s="476"/>
      <c r="C13" s="504" t="s">
        <v>26</v>
      </c>
      <c r="D13" s="507"/>
      <c r="E13" s="622"/>
      <c r="F13" s="505"/>
      <c r="G13" s="505"/>
      <c r="H13" s="505"/>
      <c r="I13" s="505"/>
      <c r="J13" s="505"/>
      <c r="K13" s="505"/>
      <c r="L13" s="505"/>
      <c r="M13" s="505"/>
      <c r="N13" s="505"/>
      <c r="O13" s="505"/>
      <c r="P13" s="505"/>
      <c r="Q13" s="505"/>
      <c r="R13" s="505"/>
      <c r="S13" s="505"/>
      <c r="T13" s="505"/>
      <c r="U13" s="505"/>
      <c r="V13" s="505"/>
      <c r="W13" s="505"/>
      <c r="X13" s="627"/>
      <c r="Y13" s="627"/>
      <c r="Z13" s="627"/>
      <c r="AA13" s="627"/>
      <c r="AB13" s="627"/>
      <c r="AC13" s="627"/>
      <c r="AD13" s="627"/>
      <c r="AE13" s="627"/>
      <c r="AF13" s="627"/>
      <c r="AG13" s="627"/>
      <c r="AH13" s="627"/>
      <c r="AI13" s="505"/>
      <c r="AJ13" s="505"/>
      <c r="AK13" s="505"/>
      <c r="AL13" s="505"/>
      <c r="AM13" s="505"/>
      <c r="AN13" s="505"/>
      <c r="AO13" s="505"/>
      <c r="AP13" s="505"/>
      <c r="AQ13" s="505"/>
      <c r="AR13" s="505"/>
      <c r="AS13" s="505"/>
      <c r="AT13" s="505"/>
      <c r="AU13" s="369"/>
      <c r="AV13" s="494"/>
      <c r="AW13" s="494"/>
      <c r="AX13" s="493"/>
      <c r="AY13" s="488"/>
      <c r="AZ13" s="7"/>
      <c r="BA13" s="7"/>
      <c r="BB13" s="194"/>
    </row>
    <row r="14" spans="2:54" s="3" customFormat="1" ht="30" customHeight="1" x14ac:dyDescent="0.2">
      <c r="B14" s="476"/>
      <c r="C14" s="506" t="s">
        <v>2</v>
      </c>
      <c r="D14" s="337">
        <v>0</v>
      </c>
      <c r="E14" s="621"/>
      <c r="F14" s="337">
        <v>0</v>
      </c>
      <c r="G14" s="337"/>
      <c r="H14" s="337">
        <v>0</v>
      </c>
      <c r="I14" s="337"/>
      <c r="J14" s="337">
        <v>0</v>
      </c>
      <c r="K14" s="337"/>
      <c r="L14" s="337">
        <v>1</v>
      </c>
      <c r="M14" s="337"/>
      <c r="N14" s="337">
        <v>0</v>
      </c>
      <c r="O14" s="337"/>
      <c r="P14" s="337">
        <v>0</v>
      </c>
      <c r="Q14" s="337"/>
      <c r="R14" s="337">
        <v>0</v>
      </c>
      <c r="S14" s="337"/>
      <c r="T14" s="337">
        <v>0</v>
      </c>
      <c r="U14" s="337"/>
      <c r="V14" s="337">
        <v>0</v>
      </c>
      <c r="W14" s="337"/>
      <c r="X14" s="624">
        <v>0</v>
      </c>
      <c r="Y14" s="624"/>
      <c r="Z14" s="624">
        <v>0</v>
      </c>
      <c r="AA14" s="624"/>
      <c r="AB14" s="624">
        <v>0</v>
      </c>
      <c r="AC14" s="624"/>
      <c r="AD14" s="624">
        <v>0</v>
      </c>
      <c r="AE14" s="624"/>
      <c r="AF14" s="624">
        <v>1</v>
      </c>
      <c r="AG14" s="625"/>
      <c r="AH14" s="625">
        <v>1</v>
      </c>
      <c r="AI14" s="337"/>
      <c r="AJ14" s="337">
        <v>0</v>
      </c>
      <c r="AK14" s="337"/>
      <c r="AL14" s="337">
        <v>0</v>
      </c>
      <c r="AM14" s="337"/>
      <c r="AN14" s="337">
        <v>0</v>
      </c>
      <c r="AO14" s="337"/>
      <c r="AP14" s="337">
        <v>0</v>
      </c>
      <c r="AQ14" s="337"/>
      <c r="AR14" s="337">
        <v>0</v>
      </c>
      <c r="AS14" s="337"/>
      <c r="AT14" s="337">
        <v>0</v>
      </c>
      <c r="AU14" s="368"/>
      <c r="AV14" s="489">
        <f>SUM(D14:AU14)</f>
        <v>3</v>
      </c>
      <c r="AW14" s="489"/>
      <c r="AX14" s="493">
        <f>AV14/AV58*100</f>
        <v>5.1724137931034484</v>
      </c>
      <c r="AY14" s="488"/>
      <c r="AZ14" s="19"/>
      <c r="BA14" s="19"/>
      <c r="BB14" s="195"/>
    </row>
    <row r="15" spans="2:54" s="3" customFormat="1" ht="30" customHeight="1" x14ac:dyDescent="0.2">
      <c r="B15" s="476"/>
      <c r="C15" s="506" t="s">
        <v>15</v>
      </c>
      <c r="D15" s="337">
        <v>0</v>
      </c>
      <c r="E15" s="621"/>
      <c r="F15" s="337">
        <v>0</v>
      </c>
      <c r="G15" s="337"/>
      <c r="H15" s="337">
        <v>0</v>
      </c>
      <c r="I15" s="337"/>
      <c r="J15" s="337">
        <v>0</v>
      </c>
      <c r="K15" s="337"/>
      <c r="L15" s="337">
        <v>30</v>
      </c>
      <c r="M15" s="337"/>
      <c r="N15" s="337">
        <v>0</v>
      </c>
      <c r="O15" s="337"/>
      <c r="P15" s="337">
        <v>0</v>
      </c>
      <c r="Q15" s="337"/>
      <c r="R15" s="337">
        <v>0</v>
      </c>
      <c r="S15" s="337"/>
      <c r="T15" s="337">
        <v>0</v>
      </c>
      <c r="U15" s="337"/>
      <c r="V15" s="337">
        <v>0</v>
      </c>
      <c r="W15" s="337"/>
      <c r="X15" s="624">
        <v>0</v>
      </c>
      <c r="Y15" s="624"/>
      <c r="Z15" s="624">
        <v>0</v>
      </c>
      <c r="AA15" s="624"/>
      <c r="AB15" s="624">
        <v>0</v>
      </c>
      <c r="AC15" s="624"/>
      <c r="AD15" s="624">
        <v>0</v>
      </c>
      <c r="AE15" s="624"/>
      <c r="AF15" s="624">
        <v>85</v>
      </c>
      <c r="AG15" s="625"/>
      <c r="AH15" s="625">
        <v>15</v>
      </c>
      <c r="AI15" s="337"/>
      <c r="AJ15" s="337">
        <v>0</v>
      </c>
      <c r="AK15" s="337"/>
      <c r="AL15" s="337">
        <v>0</v>
      </c>
      <c r="AM15" s="337"/>
      <c r="AN15" s="337">
        <v>0</v>
      </c>
      <c r="AO15" s="337"/>
      <c r="AP15" s="337">
        <v>0</v>
      </c>
      <c r="AQ15" s="337"/>
      <c r="AR15" s="337">
        <v>0</v>
      </c>
      <c r="AS15" s="337"/>
      <c r="AT15" s="337">
        <v>0</v>
      </c>
      <c r="AU15" s="368"/>
      <c r="AV15" s="489">
        <f>SUM(D15:AU15)</f>
        <v>130</v>
      </c>
      <c r="AW15" s="489"/>
      <c r="AX15" s="493">
        <f>AV15/AV59*100</f>
        <v>0.17481106957480569</v>
      </c>
      <c r="AY15" s="488"/>
      <c r="AZ15" s="19"/>
      <c r="BA15" s="19"/>
      <c r="BB15" s="195"/>
    </row>
    <row r="16" spans="2:54" s="3" customFormat="1" ht="30" customHeight="1" x14ac:dyDescent="0.2">
      <c r="B16" s="476"/>
      <c r="C16" s="506" t="s">
        <v>16</v>
      </c>
      <c r="D16" s="337">
        <v>0</v>
      </c>
      <c r="E16" s="621"/>
      <c r="F16" s="337">
        <v>0</v>
      </c>
      <c r="G16" s="337"/>
      <c r="H16" s="337">
        <v>14784</v>
      </c>
      <c r="I16" s="337" t="s">
        <v>62</v>
      </c>
      <c r="J16" s="337">
        <v>0</v>
      </c>
      <c r="K16" s="333"/>
      <c r="L16" s="337">
        <v>1280</v>
      </c>
      <c r="M16" s="337"/>
      <c r="N16" s="337">
        <v>0</v>
      </c>
      <c r="O16" s="337"/>
      <c r="P16" s="337">
        <v>0</v>
      </c>
      <c r="Q16" s="337"/>
      <c r="R16" s="337">
        <v>0</v>
      </c>
      <c r="S16" s="337"/>
      <c r="T16" s="337">
        <v>0</v>
      </c>
      <c r="U16" s="337"/>
      <c r="V16" s="337">
        <v>0</v>
      </c>
      <c r="W16" s="337"/>
      <c r="X16" s="624">
        <v>0</v>
      </c>
      <c r="Y16" s="624"/>
      <c r="Z16" s="624">
        <v>0</v>
      </c>
      <c r="AA16" s="624"/>
      <c r="AB16" s="624">
        <v>0</v>
      </c>
      <c r="AC16" s="624"/>
      <c r="AD16" s="624">
        <v>0</v>
      </c>
      <c r="AE16" s="624"/>
      <c r="AF16" s="624">
        <v>2040</v>
      </c>
      <c r="AG16" s="625"/>
      <c r="AH16" s="625">
        <v>360</v>
      </c>
      <c r="AI16" s="337"/>
      <c r="AJ16" s="337">
        <v>0</v>
      </c>
      <c r="AK16" s="337"/>
      <c r="AL16" s="337">
        <v>0</v>
      </c>
      <c r="AM16" s="337"/>
      <c r="AN16" s="337">
        <v>0</v>
      </c>
      <c r="AO16" s="337"/>
      <c r="AP16" s="337">
        <v>0</v>
      </c>
      <c r="AQ16" s="333"/>
      <c r="AR16" s="337">
        <v>0</v>
      </c>
      <c r="AS16" s="337"/>
      <c r="AT16" s="337">
        <v>0</v>
      </c>
      <c r="AU16" s="368"/>
      <c r="AV16" s="489">
        <f>SUM(D16:AU16)</f>
        <v>18464</v>
      </c>
      <c r="AW16" s="489"/>
      <c r="AX16" s="493">
        <f>AV16/AV60*100</f>
        <v>0.23727359480547652</v>
      </c>
      <c r="AY16" s="488"/>
      <c r="AZ16" s="19"/>
      <c r="BA16" s="19"/>
      <c r="BB16" s="195"/>
    </row>
    <row r="17" spans="2:54" s="3" customFormat="1" ht="30" customHeight="1" x14ac:dyDescent="0.2">
      <c r="B17" s="476"/>
      <c r="C17" s="504" t="s">
        <v>27</v>
      </c>
      <c r="D17" s="505"/>
      <c r="E17" s="622"/>
      <c r="F17" s="505"/>
      <c r="G17" s="505"/>
      <c r="H17" s="505"/>
      <c r="I17" s="505"/>
      <c r="J17" s="505"/>
      <c r="K17" s="505"/>
      <c r="L17" s="505"/>
      <c r="M17" s="505"/>
      <c r="N17" s="505"/>
      <c r="O17" s="505"/>
      <c r="P17" s="505"/>
      <c r="Q17" s="505"/>
      <c r="R17" s="505"/>
      <c r="S17" s="505"/>
      <c r="T17" s="505"/>
      <c r="U17" s="505"/>
      <c r="V17" s="505"/>
      <c r="W17" s="505"/>
      <c r="X17" s="627"/>
      <c r="Y17" s="627"/>
      <c r="Z17" s="627"/>
      <c r="AA17" s="627"/>
      <c r="AB17" s="627"/>
      <c r="AC17" s="627"/>
      <c r="AD17" s="627"/>
      <c r="AE17" s="627"/>
      <c r="AF17" s="627"/>
      <c r="AG17" s="627"/>
      <c r="AH17" s="627"/>
      <c r="AI17" s="505"/>
      <c r="AJ17" s="505"/>
      <c r="AK17" s="505"/>
      <c r="AL17" s="505"/>
      <c r="AM17" s="505"/>
      <c r="AN17" s="505"/>
      <c r="AO17" s="505"/>
      <c r="AP17" s="505"/>
      <c r="AQ17" s="505"/>
      <c r="AR17" s="505"/>
      <c r="AS17" s="505"/>
      <c r="AT17" s="505"/>
      <c r="AU17" s="369"/>
      <c r="AV17" s="494"/>
      <c r="AW17" s="494"/>
      <c r="AX17" s="493"/>
      <c r="AY17" s="488"/>
      <c r="AZ17" s="7"/>
      <c r="BA17" s="7"/>
      <c r="BB17" s="194"/>
    </row>
    <row r="18" spans="2:54" s="3" customFormat="1" ht="30" customHeight="1" x14ac:dyDescent="0.2">
      <c r="B18" s="476"/>
      <c r="C18" s="506" t="s">
        <v>2</v>
      </c>
      <c r="D18" s="337">
        <v>0</v>
      </c>
      <c r="E18" s="621"/>
      <c r="F18" s="337">
        <v>0</v>
      </c>
      <c r="G18" s="337"/>
      <c r="H18" s="337">
        <v>0</v>
      </c>
      <c r="I18" s="337"/>
      <c r="J18" s="337">
        <v>1</v>
      </c>
      <c r="K18" s="337"/>
      <c r="L18" s="337">
        <v>0</v>
      </c>
      <c r="M18" s="337"/>
      <c r="N18" s="337">
        <v>0</v>
      </c>
      <c r="O18" s="337"/>
      <c r="P18" s="337">
        <v>0</v>
      </c>
      <c r="Q18" s="337"/>
      <c r="R18" s="337">
        <v>1</v>
      </c>
      <c r="S18" s="337"/>
      <c r="T18" s="337">
        <v>0</v>
      </c>
      <c r="U18" s="337"/>
      <c r="V18" s="337">
        <v>0</v>
      </c>
      <c r="W18" s="337"/>
      <c r="X18" s="624">
        <v>1</v>
      </c>
      <c r="Y18" s="624"/>
      <c r="Z18" s="624">
        <v>0</v>
      </c>
      <c r="AA18" s="624"/>
      <c r="AB18" s="624">
        <v>0</v>
      </c>
      <c r="AC18" s="624"/>
      <c r="AD18" s="624">
        <v>0</v>
      </c>
      <c r="AE18" s="624"/>
      <c r="AF18" s="624">
        <v>0</v>
      </c>
      <c r="AG18" s="625"/>
      <c r="AH18" s="625">
        <v>0</v>
      </c>
      <c r="AI18" s="337"/>
      <c r="AJ18" s="337">
        <v>0</v>
      </c>
      <c r="AK18" s="337"/>
      <c r="AL18" s="337">
        <v>0</v>
      </c>
      <c r="AM18" s="337"/>
      <c r="AN18" s="337">
        <v>0</v>
      </c>
      <c r="AO18" s="337"/>
      <c r="AP18" s="337">
        <v>0</v>
      </c>
      <c r="AQ18" s="337"/>
      <c r="AR18" s="337">
        <v>0</v>
      </c>
      <c r="AS18" s="337"/>
      <c r="AT18" s="337">
        <v>0</v>
      </c>
      <c r="AU18" s="368"/>
      <c r="AV18" s="489">
        <f>SUM(D18:AU18)</f>
        <v>3</v>
      </c>
      <c r="AW18" s="489"/>
      <c r="AX18" s="493">
        <f>AV18/AV58*100</f>
        <v>5.1724137931034484</v>
      </c>
      <c r="AY18" s="488"/>
      <c r="AZ18" s="19"/>
      <c r="BA18" s="19"/>
      <c r="BB18" s="195"/>
    </row>
    <row r="19" spans="2:54" s="3" customFormat="1" ht="30" customHeight="1" x14ac:dyDescent="0.2">
      <c r="B19" s="476"/>
      <c r="C19" s="506" t="s">
        <v>15</v>
      </c>
      <c r="D19" s="337">
        <v>0</v>
      </c>
      <c r="E19" s="621"/>
      <c r="F19" s="337">
        <v>0</v>
      </c>
      <c r="G19" s="337"/>
      <c r="H19" s="337">
        <v>0</v>
      </c>
      <c r="I19" s="337"/>
      <c r="J19" s="337">
        <v>400</v>
      </c>
      <c r="K19" s="337"/>
      <c r="L19" s="337">
        <v>0</v>
      </c>
      <c r="M19" s="337"/>
      <c r="N19" s="337">
        <v>0</v>
      </c>
      <c r="O19" s="337"/>
      <c r="P19" s="337">
        <v>0</v>
      </c>
      <c r="Q19" s="337"/>
      <c r="R19" s="337">
        <v>535</v>
      </c>
      <c r="S19" s="337"/>
      <c r="T19" s="337">
        <v>0</v>
      </c>
      <c r="U19" s="337"/>
      <c r="V19" s="337">
        <v>0</v>
      </c>
      <c r="W19" s="337"/>
      <c r="X19" s="624">
        <v>30</v>
      </c>
      <c r="Y19" s="624"/>
      <c r="Z19" s="624">
        <v>0</v>
      </c>
      <c r="AA19" s="624"/>
      <c r="AB19" s="624">
        <v>0</v>
      </c>
      <c r="AC19" s="624"/>
      <c r="AD19" s="624">
        <v>0</v>
      </c>
      <c r="AE19" s="624"/>
      <c r="AF19" s="624">
        <v>0</v>
      </c>
      <c r="AG19" s="625"/>
      <c r="AH19" s="625">
        <v>0</v>
      </c>
      <c r="AI19" s="337"/>
      <c r="AJ19" s="337">
        <v>0</v>
      </c>
      <c r="AK19" s="337"/>
      <c r="AL19" s="337">
        <v>0</v>
      </c>
      <c r="AM19" s="337"/>
      <c r="AN19" s="337">
        <v>0</v>
      </c>
      <c r="AO19" s="337"/>
      <c r="AP19" s="337">
        <v>0</v>
      </c>
      <c r="AQ19" s="337"/>
      <c r="AR19" s="337">
        <v>0</v>
      </c>
      <c r="AS19" s="337"/>
      <c r="AT19" s="337">
        <v>0</v>
      </c>
      <c r="AU19" s="368"/>
      <c r="AV19" s="489">
        <f>SUM(D19:AU19)</f>
        <v>965</v>
      </c>
      <c r="AW19" s="489"/>
      <c r="AX19" s="493">
        <f>AV19/AV59*100</f>
        <v>1.2976360164591345</v>
      </c>
      <c r="AY19" s="488"/>
      <c r="AZ19" s="19"/>
      <c r="BA19" s="19"/>
      <c r="BB19" s="195"/>
    </row>
    <row r="20" spans="2:54" s="3" customFormat="1" ht="30" customHeight="1" x14ac:dyDescent="0.2">
      <c r="B20" s="476"/>
      <c r="C20" s="506" t="s">
        <v>16</v>
      </c>
      <c r="D20" s="337">
        <v>0</v>
      </c>
      <c r="E20" s="621"/>
      <c r="F20" s="337">
        <v>0</v>
      </c>
      <c r="G20" s="337"/>
      <c r="H20" s="337">
        <v>16368</v>
      </c>
      <c r="I20" s="337" t="s">
        <v>62</v>
      </c>
      <c r="J20" s="337">
        <v>12800</v>
      </c>
      <c r="K20" s="333"/>
      <c r="L20" s="337">
        <v>0</v>
      </c>
      <c r="M20" s="337"/>
      <c r="N20" s="337">
        <v>0</v>
      </c>
      <c r="O20" s="337"/>
      <c r="P20" s="337">
        <v>0</v>
      </c>
      <c r="Q20" s="337"/>
      <c r="R20" s="337">
        <v>4280</v>
      </c>
      <c r="S20" s="337"/>
      <c r="T20" s="337">
        <v>0</v>
      </c>
      <c r="U20" s="337"/>
      <c r="V20" s="337">
        <v>0</v>
      </c>
      <c r="W20" s="337"/>
      <c r="X20" s="624">
        <v>720</v>
      </c>
      <c r="Y20" s="624"/>
      <c r="Z20" s="624">
        <v>0</v>
      </c>
      <c r="AA20" s="624"/>
      <c r="AB20" s="624">
        <v>0</v>
      </c>
      <c r="AC20" s="624"/>
      <c r="AD20" s="624">
        <v>0</v>
      </c>
      <c r="AE20" s="624"/>
      <c r="AF20" s="624">
        <v>0</v>
      </c>
      <c r="AG20" s="625"/>
      <c r="AH20" s="625">
        <v>0</v>
      </c>
      <c r="AI20" s="337"/>
      <c r="AJ20" s="337">
        <v>0</v>
      </c>
      <c r="AK20" s="337"/>
      <c r="AL20" s="337">
        <v>0</v>
      </c>
      <c r="AM20" s="337"/>
      <c r="AN20" s="337">
        <v>0</v>
      </c>
      <c r="AO20" s="337"/>
      <c r="AP20" s="337">
        <v>0</v>
      </c>
      <c r="AQ20" s="333"/>
      <c r="AR20" s="337">
        <v>0</v>
      </c>
      <c r="AS20" s="337"/>
      <c r="AT20" s="337">
        <v>0</v>
      </c>
      <c r="AU20" s="368"/>
      <c r="AV20" s="489">
        <f>SUM(D20:AU20)</f>
        <v>34168</v>
      </c>
      <c r="AW20" s="489"/>
      <c r="AX20" s="493">
        <f>AV20/AV60*100</f>
        <v>0.43907951621065439</v>
      </c>
      <c r="AY20" s="488"/>
      <c r="AZ20" s="19"/>
      <c r="BA20" s="19"/>
      <c r="BB20" s="195"/>
    </row>
    <row r="21" spans="2:54" s="3" customFormat="1" ht="30" customHeight="1" x14ac:dyDescent="0.2">
      <c r="B21" s="476"/>
      <c r="C21" s="504" t="s">
        <v>28</v>
      </c>
      <c r="D21" s="505"/>
      <c r="E21" s="622"/>
      <c r="F21" s="505"/>
      <c r="G21" s="505"/>
      <c r="H21" s="505"/>
      <c r="I21" s="505"/>
      <c r="J21" s="505"/>
      <c r="K21" s="505"/>
      <c r="L21" s="505"/>
      <c r="M21" s="505"/>
      <c r="N21" s="505"/>
      <c r="O21" s="505"/>
      <c r="P21" s="505"/>
      <c r="Q21" s="505"/>
      <c r="R21" s="505"/>
      <c r="S21" s="505"/>
      <c r="T21" s="505"/>
      <c r="U21" s="505"/>
      <c r="V21" s="505"/>
      <c r="W21" s="505"/>
      <c r="X21" s="627"/>
      <c r="Y21" s="627"/>
      <c r="Z21" s="627"/>
      <c r="AA21" s="627"/>
      <c r="AB21" s="627"/>
      <c r="AC21" s="627"/>
      <c r="AD21" s="627"/>
      <c r="AE21" s="627"/>
      <c r="AF21" s="627"/>
      <c r="AG21" s="627"/>
      <c r="AH21" s="627"/>
      <c r="AI21" s="505"/>
      <c r="AJ21" s="505"/>
      <c r="AK21" s="505"/>
      <c r="AL21" s="505"/>
      <c r="AM21" s="505"/>
      <c r="AN21" s="505"/>
      <c r="AO21" s="505"/>
      <c r="AP21" s="505"/>
      <c r="AQ21" s="505"/>
      <c r="AR21" s="505"/>
      <c r="AS21" s="505"/>
      <c r="AT21" s="505"/>
      <c r="AU21" s="369"/>
      <c r="AV21" s="489"/>
      <c r="AW21" s="489"/>
      <c r="AX21" s="495"/>
      <c r="AY21" s="488"/>
      <c r="AZ21" s="7"/>
      <c r="BA21" s="7"/>
      <c r="BB21" s="194"/>
    </row>
    <row r="22" spans="2:54" s="3" customFormat="1" ht="30" customHeight="1" x14ac:dyDescent="0.2">
      <c r="B22" s="476"/>
      <c r="C22" s="506" t="s">
        <v>2</v>
      </c>
      <c r="D22" s="337">
        <v>0</v>
      </c>
      <c r="E22" s="621"/>
      <c r="F22" s="337">
        <v>0</v>
      </c>
      <c r="G22" s="337"/>
      <c r="H22" s="337">
        <v>0</v>
      </c>
      <c r="I22" s="337"/>
      <c r="J22" s="337">
        <v>0</v>
      </c>
      <c r="K22" s="337"/>
      <c r="L22" s="337">
        <v>0</v>
      </c>
      <c r="M22" s="337"/>
      <c r="N22" s="337">
        <v>3</v>
      </c>
      <c r="O22" s="337"/>
      <c r="P22" s="337">
        <v>0</v>
      </c>
      <c r="Q22" s="337"/>
      <c r="R22" s="337">
        <v>0</v>
      </c>
      <c r="S22" s="337"/>
      <c r="T22" s="337">
        <v>0</v>
      </c>
      <c r="U22" s="337"/>
      <c r="V22" s="337">
        <v>0</v>
      </c>
      <c r="W22" s="337"/>
      <c r="X22" s="624">
        <v>0</v>
      </c>
      <c r="Y22" s="624"/>
      <c r="Z22" s="624">
        <v>1</v>
      </c>
      <c r="AA22" s="624"/>
      <c r="AB22" s="624">
        <v>0</v>
      </c>
      <c r="AC22" s="624"/>
      <c r="AD22" s="624">
        <v>0</v>
      </c>
      <c r="AE22" s="624"/>
      <c r="AF22" s="624">
        <v>0</v>
      </c>
      <c r="AG22" s="625"/>
      <c r="AH22" s="625">
        <v>0</v>
      </c>
      <c r="AI22" s="337"/>
      <c r="AJ22" s="337">
        <v>1</v>
      </c>
      <c r="AK22" s="337"/>
      <c r="AL22" s="337">
        <v>0</v>
      </c>
      <c r="AM22" s="337"/>
      <c r="AN22" s="337">
        <v>0</v>
      </c>
      <c r="AO22" s="337"/>
      <c r="AP22" s="337">
        <v>0</v>
      </c>
      <c r="AQ22" s="337"/>
      <c r="AR22" s="337">
        <v>0</v>
      </c>
      <c r="AS22" s="337"/>
      <c r="AT22" s="337">
        <v>0</v>
      </c>
      <c r="AU22" s="368"/>
      <c r="AV22" s="489">
        <f>SUM(D22:AU22)</f>
        <v>5</v>
      </c>
      <c r="AW22" s="489"/>
      <c r="AX22" s="493">
        <f>AV22/AV58*100</f>
        <v>8.6206896551724146</v>
      </c>
      <c r="AY22" s="488"/>
      <c r="AZ22" s="19"/>
      <c r="BA22" s="19"/>
      <c r="BB22" s="195"/>
    </row>
    <row r="23" spans="2:54" s="3" customFormat="1" ht="30" customHeight="1" x14ac:dyDescent="0.2">
      <c r="B23" s="476"/>
      <c r="C23" s="506" t="s">
        <v>15</v>
      </c>
      <c r="D23" s="337">
        <v>0</v>
      </c>
      <c r="E23" s="621"/>
      <c r="F23" s="337">
        <v>0</v>
      </c>
      <c r="G23" s="337"/>
      <c r="H23" s="337">
        <v>0</v>
      </c>
      <c r="I23" s="337"/>
      <c r="J23" s="337">
        <v>0</v>
      </c>
      <c r="K23" s="337"/>
      <c r="L23" s="337">
        <v>0</v>
      </c>
      <c r="M23" s="337"/>
      <c r="N23" s="337">
        <v>403</v>
      </c>
      <c r="O23" s="337"/>
      <c r="P23" s="337">
        <v>0</v>
      </c>
      <c r="Q23" s="337"/>
      <c r="R23" s="337">
        <v>0</v>
      </c>
      <c r="S23" s="337"/>
      <c r="T23" s="337">
        <v>0</v>
      </c>
      <c r="U23" s="337"/>
      <c r="V23" s="337">
        <v>0</v>
      </c>
      <c r="W23" s="337"/>
      <c r="X23" s="624">
        <v>0</v>
      </c>
      <c r="Y23" s="624"/>
      <c r="Z23" s="624">
        <v>42</v>
      </c>
      <c r="AA23" s="624"/>
      <c r="AB23" s="624">
        <v>0</v>
      </c>
      <c r="AC23" s="624"/>
      <c r="AD23" s="624">
        <v>0</v>
      </c>
      <c r="AE23" s="624"/>
      <c r="AF23" s="624">
        <v>0</v>
      </c>
      <c r="AG23" s="625"/>
      <c r="AH23" s="625">
        <v>0</v>
      </c>
      <c r="AI23" s="337"/>
      <c r="AJ23" s="337">
        <v>109</v>
      </c>
      <c r="AK23" s="337"/>
      <c r="AL23" s="337">
        <v>0</v>
      </c>
      <c r="AM23" s="337"/>
      <c r="AN23" s="337">
        <v>0</v>
      </c>
      <c r="AO23" s="337"/>
      <c r="AP23" s="337">
        <v>0</v>
      </c>
      <c r="AQ23" s="337"/>
      <c r="AR23" s="337">
        <v>0</v>
      </c>
      <c r="AS23" s="337"/>
      <c r="AT23" s="337">
        <v>0</v>
      </c>
      <c r="AU23" s="368"/>
      <c r="AV23" s="489">
        <f>SUM(D23:AU23)</f>
        <v>554</v>
      </c>
      <c r="AW23" s="489"/>
      <c r="AX23" s="493">
        <f>AV23/AV59*100</f>
        <v>0.74496409649571038</v>
      </c>
      <c r="AY23" s="488"/>
      <c r="AZ23" s="19"/>
      <c r="BA23" s="19"/>
      <c r="BB23" s="195"/>
    </row>
    <row r="24" spans="2:54" s="3" customFormat="1" ht="30" customHeight="1" x14ac:dyDescent="0.2">
      <c r="B24" s="476"/>
      <c r="C24" s="506" t="s">
        <v>16</v>
      </c>
      <c r="D24" s="337">
        <v>0</v>
      </c>
      <c r="E24" s="621"/>
      <c r="F24" s="337">
        <v>0</v>
      </c>
      <c r="G24" s="337"/>
      <c r="H24" s="337">
        <v>15840</v>
      </c>
      <c r="I24" s="333" t="s">
        <v>62</v>
      </c>
      <c r="J24" s="337">
        <v>0</v>
      </c>
      <c r="K24" s="333"/>
      <c r="L24" s="337">
        <v>0</v>
      </c>
      <c r="M24" s="337"/>
      <c r="N24" s="337">
        <v>5272</v>
      </c>
      <c r="O24" s="337"/>
      <c r="P24" s="337">
        <v>0</v>
      </c>
      <c r="Q24" s="337"/>
      <c r="R24" s="337">
        <v>0</v>
      </c>
      <c r="S24" s="337"/>
      <c r="T24" s="337">
        <v>0</v>
      </c>
      <c r="U24" s="337"/>
      <c r="V24" s="337">
        <v>0</v>
      </c>
      <c r="W24" s="337"/>
      <c r="X24" s="624">
        <v>0</v>
      </c>
      <c r="Y24" s="624"/>
      <c r="Z24" s="624">
        <v>1008</v>
      </c>
      <c r="AA24" s="624"/>
      <c r="AB24" s="624">
        <v>0</v>
      </c>
      <c r="AC24" s="624"/>
      <c r="AD24" s="624">
        <v>0</v>
      </c>
      <c r="AE24" s="624"/>
      <c r="AF24" s="624">
        <v>0</v>
      </c>
      <c r="AG24" s="625"/>
      <c r="AH24" s="625">
        <v>0</v>
      </c>
      <c r="AI24" s="337"/>
      <c r="AJ24" s="337">
        <v>7848</v>
      </c>
      <c r="AK24" s="337"/>
      <c r="AL24" s="337">
        <v>0</v>
      </c>
      <c r="AM24" s="337"/>
      <c r="AN24" s="337">
        <v>0</v>
      </c>
      <c r="AO24" s="337"/>
      <c r="AP24" s="337">
        <v>0</v>
      </c>
      <c r="AQ24" s="333"/>
      <c r="AR24" s="337">
        <v>0</v>
      </c>
      <c r="AS24" s="337"/>
      <c r="AT24" s="337">
        <v>0</v>
      </c>
      <c r="AU24" s="368"/>
      <c r="AV24" s="489">
        <f>SUM(D24:AU24)</f>
        <v>29968</v>
      </c>
      <c r="AW24" s="489"/>
      <c r="AX24" s="493">
        <f>AV24/AV60*100</f>
        <v>0.38510696973193892</v>
      </c>
      <c r="AY24" s="488"/>
      <c r="AZ24" s="19"/>
      <c r="BA24" s="19"/>
      <c r="BB24" s="195"/>
    </row>
    <row r="25" spans="2:54" s="3" customFormat="1" ht="30" customHeight="1" x14ac:dyDescent="0.2">
      <c r="B25" s="476"/>
      <c r="C25" s="504" t="s">
        <v>29</v>
      </c>
      <c r="D25" s="505"/>
      <c r="E25" s="622"/>
      <c r="F25" s="505"/>
      <c r="G25" s="505"/>
      <c r="H25" s="505"/>
      <c r="I25" s="505"/>
      <c r="J25" s="505"/>
      <c r="K25" s="505"/>
      <c r="L25" s="505"/>
      <c r="M25" s="505"/>
      <c r="N25" s="505"/>
      <c r="O25" s="505"/>
      <c r="P25" s="505"/>
      <c r="Q25" s="505"/>
      <c r="R25" s="505"/>
      <c r="S25" s="505"/>
      <c r="T25" s="505"/>
      <c r="U25" s="505"/>
      <c r="V25" s="505"/>
      <c r="W25" s="505"/>
      <c r="X25" s="627"/>
      <c r="Y25" s="627"/>
      <c r="Z25" s="627"/>
      <c r="AA25" s="627"/>
      <c r="AB25" s="627"/>
      <c r="AC25" s="627"/>
      <c r="AD25" s="627"/>
      <c r="AE25" s="627"/>
      <c r="AF25" s="627"/>
      <c r="AG25" s="627"/>
      <c r="AH25" s="627"/>
      <c r="AI25" s="505"/>
      <c r="AJ25" s="505"/>
      <c r="AK25" s="505"/>
      <c r="AL25" s="505"/>
      <c r="AM25" s="505"/>
      <c r="AN25" s="505"/>
      <c r="AO25" s="505"/>
      <c r="AP25" s="505"/>
      <c r="AQ25" s="505"/>
      <c r="AR25" s="505"/>
      <c r="AS25" s="505"/>
      <c r="AT25" s="505"/>
      <c r="AU25" s="369"/>
      <c r="AV25" s="489"/>
      <c r="AW25" s="489"/>
      <c r="AX25" s="495"/>
      <c r="AY25" s="488"/>
      <c r="AZ25" s="7"/>
      <c r="BA25" s="7"/>
      <c r="BB25" s="194"/>
    </row>
    <row r="26" spans="2:54" s="3" customFormat="1" ht="30" customHeight="1" x14ac:dyDescent="0.2">
      <c r="B26" s="476"/>
      <c r="C26" s="506" t="s">
        <v>2</v>
      </c>
      <c r="D26" s="337">
        <v>0</v>
      </c>
      <c r="E26" s="621"/>
      <c r="F26" s="337">
        <v>0</v>
      </c>
      <c r="G26" s="337"/>
      <c r="H26" s="337">
        <v>1</v>
      </c>
      <c r="I26" s="337"/>
      <c r="J26" s="337">
        <v>0</v>
      </c>
      <c r="K26" s="337"/>
      <c r="L26" s="337">
        <v>1</v>
      </c>
      <c r="M26" s="337"/>
      <c r="N26" s="337">
        <v>0</v>
      </c>
      <c r="O26" s="337"/>
      <c r="P26" s="337">
        <v>0</v>
      </c>
      <c r="Q26" s="337"/>
      <c r="R26" s="337">
        <v>1</v>
      </c>
      <c r="S26" s="337"/>
      <c r="T26" s="337">
        <v>0</v>
      </c>
      <c r="U26" s="337"/>
      <c r="V26" s="337">
        <v>0</v>
      </c>
      <c r="W26" s="337"/>
      <c r="X26" s="624">
        <v>0</v>
      </c>
      <c r="Y26" s="624"/>
      <c r="Z26" s="624">
        <v>0</v>
      </c>
      <c r="AA26" s="624"/>
      <c r="AB26" s="624">
        <v>0</v>
      </c>
      <c r="AC26" s="624"/>
      <c r="AD26" s="624">
        <v>0</v>
      </c>
      <c r="AE26" s="624"/>
      <c r="AF26" s="624">
        <v>0</v>
      </c>
      <c r="AG26" s="625"/>
      <c r="AH26" s="625">
        <v>0</v>
      </c>
      <c r="AI26" s="337"/>
      <c r="AJ26" s="337">
        <v>1</v>
      </c>
      <c r="AK26" s="337"/>
      <c r="AL26" s="337">
        <v>0</v>
      </c>
      <c r="AM26" s="337"/>
      <c r="AN26" s="337">
        <v>0</v>
      </c>
      <c r="AO26" s="337"/>
      <c r="AP26" s="337">
        <v>0</v>
      </c>
      <c r="AQ26" s="337"/>
      <c r="AR26" s="337">
        <v>0</v>
      </c>
      <c r="AS26" s="337"/>
      <c r="AT26" s="337">
        <v>0</v>
      </c>
      <c r="AU26" s="368"/>
      <c r="AV26" s="489">
        <f>SUM(D26:AU26)</f>
        <v>4</v>
      </c>
      <c r="AW26" s="489"/>
      <c r="AX26" s="493">
        <f>AV26/AV58*100</f>
        <v>6.8965517241379306</v>
      </c>
      <c r="AY26" s="488"/>
      <c r="AZ26" s="19"/>
      <c r="BA26" s="19"/>
      <c r="BB26" s="195"/>
    </row>
    <row r="27" spans="2:54" s="3" customFormat="1" ht="30" customHeight="1" x14ac:dyDescent="0.2">
      <c r="B27" s="476"/>
      <c r="C27" s="506" t="s">
        <v>15</v>
      </c>
      <c r="D27" s="337">
        <v>0</v>
      </c>
      <c r="E27" s="621"/>
      <c r="F27" s="337">
        <v>0</v>
      </c>
      <c r="G27" s="337"/>
      <c r="H27" s="337">
        <v>250</v>
      </c>
      <c r="I27" s="337"/>
      <c r="J27" s="337">
        <v>0</v>
      </c>
      <c r="K27" s="337"/>
      <c r="L27" s="337">
        <v>19</v>
      </c>
      <c r="M27" s="337"/>
      <c r="N27" s="337">
        <v>0</v>
      </c>
      <c r="O27" s="337"/>
      <c r="P27" s="337">
        <v>0</v>
      </c>
      <c r="Q27" s="337"/>
      <c r="R27" s="337">
        <v>30</v>
      </c>
      <c r="S27" s="337"/>
      <c r="T27" s="337">
        <v>0</v>
      </c>
      <c r="U27" s="337"/>
      <c r="V27" s="337">
        <v>0</v>
      </c>
      <c r="W27" s="337"/>
      <c r="X27" s="624">
        <v>0</v>
      </c>
      <c r="Y27" s="624"/>
      <c r="Z27" s="624">
        <v>0</v>
      </c>
      <c r="AA27" s="624"/>
      <c r="AB27" s="624">
        <v>0</v>
      </c>
      <c r="AC27" s="624"/>
      <c r="AD27" s="624">
        <v>0</v>
      </c>
      <c r="AE27" s="624"/>
      <c r="AF27" s="624">
        <v>0</v>
      </c>
      <c r="AG27" s="625"/>
      <c r="AH27" s="625">
        <v>0</v>
      </c>
      <c r="AI27" s="337"/>
      <c r="AJ27" s="337">
        <v>100</v>
      </c>
      <c r="AK27" s="337"/>
      <c r="AL27" s="337">
        <v>0</v>
      </c>
      <c r="AM27" s="337"/>
      <c r="AN27" s="337">
        <v>0</v>
      </c>
      <c r="AO27" s="337"/>
      <c r="AP27" s="337">
        <v>0</v>
      </c>
      <c r="AQ27" s="337"/>
      <c r="AR27" s="337">
        <v>0</v>
      </c>
      <c r="AS27" s="337"/>
      <c r="AT27" s="337">
        <v>0</v>
      </c>
      <c r="AU27" s="368"/>
      <c r="AV27" s="489">
        <f>SUM(D27:AU27)</f>
        <v>399</v>
      </c>
      <c r="AW27" s="489"/>
      <c r="AX27" s="493">
        <f>AV27/AV59*100</f>
        <v>0.53653551354113438</v>
      </c>
      <c r="AY27" s="488"/>
      <c r="AZ27" s="19"/>
      <c r="BA27" s="19"/>
      <c r="BB27" s="195"/>
    </row>
    <row r="28" spans="2:54" s="3" customFormat="1" ht="30" customHeight="1" x14ac:dyDescent="0.2">
      <c r="B28" s="476"/>
      <c r="C28" s="506" t="s">
        <v>16</v>
      </c>
      <c r="D28" s="337">
        <v>0</v>
      </c>
      <c r="E28" s="621"/>
      <c r="F28" s="337">
        <v>0</v>
      </c>
      <c r="G28" s="337"/>
      <c r="H28" s="337">
        <v>34448</v>
      </c>
      <c r="I28" s="337"/>
      <c r="J28" s="337">
        <v>0</v>
      </c>
      <c r="K28" s="333"/>
      <c r="L28" s="337">
        <v>3192</v>
      </c>
      <c r="M28" s="337"/>
      <c r="N28" s="337">
        <v>0</v>
      </c>
      <c r="O28" s="337"/>
      <c r="P28" s="337">
        <v>0</v>
      </c>
      <c r="Q28" s="337"/>
      <c r="R28" s="337">
        <v>480</v>
      </c>
      <c r="S28" s="337"/>
      <c r="T28" s="337">
        <v>0</v>
      </c>
      <c r="U28" s="337"/>
      <c r="V28" s="337">
        <v>0</v>
      </c>
      <c r="W28" s="337"/>
      <c r="X28" s="624">
        <v>0</v>
      </c>
      <c r="Y28" s="624"/>
      <c r="Z28" s="624">
        <v>0</v>
      </c>
      <c r="AA28" s="624"/>
      <c r="AB28" s="624">
        <v>0</v>
      </c>
      <c r="AC28" s="624"/>
      <c r="AD28" s="624">
        <v>0</v>
      </c>
      <c r="AE28" s="624"/>
      <c r="AF28" s="624">
        <v>0</v>
      </c>
      <c r="AG28" s="625"/>
      <c r="AH28" s="625">
        <v>0</v>
      </c>
      <c r="AI28" s="337"/>
      <c r="AJ28" s="337">
        <v>800</v>
      </c>
      <c r="AK28" s="337"/>
      <c r="AL28" s="337">
        <v>0</v>
      </c>
      <c r="AM28" s="337"/>
      <c r="AN28" s="337">
        <v>0</v>
      </c>
      <c r="AO28" s="337"/>
      <c r="AP28" s="337">
        <v>0</v>
      </c>
      <c r="AQ28" s="333"/>
      <c r="AR28" s="337">
        <v>0</v>
      </c>
      <c r="AS28" s="337"/>
      <c r="AT28" s="337">
        <v>0</v>
      </c>
      <c r="AU28" s="368"/>
      <c r="AV28" s="489">
        <f>SUM(D28:AU28)</f>
        <v>38920</v>
      </c>
      <c r="AW28" s="489"/>
      <c r="AX28" s="493">
        <f>AV28/AV60*100</f>
        <v>0.50014559736942943</v>
      </c>
      <c r="AY28" s="488"/>
      <c r="AZ28" s="19"/>
      <c r="BA28" s="19"/>
      <c r="BB28" s="195"/>
    </row>
    <row r="29" spans="2:54" s="3" customFormat="1" ht="30" customHeight="1" x14ac:dyDescent="0.2">
      <c r="B29" s="476"/>
      <c r="C29" s="504" t="s">
        <v>30</v>
      </c>
      <c r="D29" s="505"/>
      <c r="E29" s="622"/>
      <c r="F29" s="505"/>
      <c r="G29" s="505"/>
      <c r="H29" s="505"/>
      <c r="I29" s="505"/>
      <c r="J29" s="505"/>
      <c r="K29" s="505"/>
      <c r="L29" s="505"/>
      <c r="M29" s="505"/>
      <c r="N29" s="505"/>
      <c r="O29" s="505"/>
      <c r="P29" s="505"/>
      <c r="Q29" s="505"/>
      <c r="R29" s="505"/>
      <c r="S29" s="505"/>
      <c r="T29" s="505"/>
      <c r="U29" s="505"/>
      <c r="V29" s="505"/>
      <c r="W29" s="505"/>
      <c r="X29" s="627"/>
      <c r="Y29" s="627"/>
      <c r="Z29" s="627"/>
      <c r="AA29" s="627"/>
      <c r="AB29" s="627"/>
      <c r="AC29" s="627"/>
      <c r="AD29" s="627"/>
      <c r="AE29" s="627"/>
      <c r="AF29" s="627"/>
      <c r="AG29" s="627"/>
      <c r="AH29" s="627"/>
      <c r="AI29" s="505"/>
      <c r="AJ29" s="505"/>
      <c r="AK29" s="505"/>
      <c r="AL29" s="505"/>
      <c r="AM29" s="505"/>
      <c r="AN29" s="505"/>
      <c r="AO29" s="505"/>
      <c r="AP29" s="505"/>
      <c r="AQ29" s="505"/>
      <c r="AR29" s="505"/>
      <c r="AS29" s="505"/>
      <c r="AT29" s="505"/>
      <c r="AU29" s="369"/>
      <c r="AV29" s="489"/>
      <c r="AW29" s="489"/>
      <c r="AX29" s="495"/>
      <c r="AY29" s="488"/>
      <c r="AZ29" s="7"/>
      <c r="BA29" s="7"/>
      <c r="BB29" s="194"/>
    </row>
    <row r="30" spans="2:54" s="3" customFormat="1" ht="30" customHeight="1" x14ac:dyDescent="0.2">
      <c r="B30" s="476"/>
      <c r="C30" s="506" t="s">
        <v>2</v>
      </c>
      <c r="D30" s="337">
        <v>0</v>
      </c>
      <c r="E30" s="621"/>
      <c r="F30" s="337">
        <v>0</v>
      </c>
      <c r="G30" s="337"/>
      <c r="H30" s="337">
        <v>0</v>
      </c>
      <c r="I30" s="337"/>
      <c r="J30" s="337">
        <v>0</v>
      </c>
      <c r="K30" s="337"/>
      <c r="L30" s="337">
        <v>2</v>
      </c>
      <c r="M30" s="337"/>
      <c r="N30" s="337">
        <v>0</v>
      </c>
      <c r="O30" s="337"/>
      <c r="P30" s="337">
        <v>0</v>
      </c>
      <c r="Q30" s="337"/>
      <c r="R30" s="337">
        <v>0</v>
      </c>
      <c r="S30" s="337"/>
      <c r="T30" s="337">
        <v>0</v>
      </c>
      <c r="U30" s="337"/>
      <c r="V30" s="337">
        <v>0</v>
      </c>
      <c r="W30" s="337"/>
      <c r="X30" s="624">
        <v>0</v>
      </c>
      <c r="Y30" s="624"/>
      <c r="Z30" s="624">
        <v>0</v>
      </c>
      <c r="AA30" s="624"/>
      <c r="AB30" s="624">
        <v>0</v>
      </c>
      <c r="AC30" s="624"/>
      <c r="AD30" s="624">
        <v>0</v>
      </c>
      <c r="AE30" s="624"/>
      <c r="AF30" s="624">
        <v>1</v>
      </c>
      <c r="AG30" s="625"/>
      <c r="AH30" s="625">
        <v>3</v>
      </c>
      <c r="AI30" s="337"/>
      <c r="AJ30" s="337">
        <v>2</v>
      </c>
      <c r="AK30" s="337"/>
      <c r="AL30" s="337">
        <v>1</v>
      </c>
      <c r="AM30" s="337"/>
      <c r="AN30" s="337">
        <v>0</v>
      </c>
      <c r="AO30" s="337"/>
      <c r="AP30" s="337">
        <v>0</v>
      </c>
      <c r="AQ30" s="337"/>
      <c r="AR30" s="337">
        <v>0</v>
      </c>
      <c r="AS30" s="337"/>
      <c r="AT30" s="337">
        <v>0</v>
      </c>
      <c r="AU30" s="368"/>
      <c r="AV30" s="489">
        <f>SUM(D30:AU30)</f>
        <v>9</v>
      </c>
      <c r="AW30" s="489"/>
      <c r="AX30" s="493">
        <f>AV30/AV58*100</f>
        <v>15.517241379310345</v>
      </c>
      <c r="AY30" s="488"/>
      <c r="AZ30" s="19"/>
      <c r="BA30" s="19"/>
      <c r="BB30" s="195"/>
    </row>
    <row r="31" spans="2:54" s="3" customFormat="1" ht="30" customHeight="1" x14ac:dyDescent="0.2">
      <c r="B31" s="476"/>
      <c r="C31" s="506" t="s">
        <v>15</v>
      </c>
      <c r="D31" s="337">
        <v>0</v>
      </c>
      <c r="E31" s="621"/>
      <c r="F31" s="337">
        <v>0</v>
      </c>
      <c r="G31" s="337"/>
      <c r="H31" s="337">
        <v>0</v>
      </c>
      <c r="I31" s="337"/>
      <c r="J31" s="337">
        <v>0</v>
      </c>
      <c r="K31" s="337"/>
      <c r="L31" s="337">
        <v>410</v>
      </c>
      <c r="M31" s="337"/>
      <c r="N31" s="337">
        <v>0</v>
      </c>
      <c r="O31" s="337"/>
      <c r="P31" s="337">
        <v>0</v>
      </c>
      <c r="Q31" s="337"/>
      <c r="R31" s="337">
        <v>0</v>
      </c>
      <c r="S31" s="337"/>
      <c r="T31" s="337">
        <v>0</v>
      </c>
      <c r="U31" s="337"/>
      <c r="V31" s="337">
        <v>0</v>
      </c>
      <c r="W31" s="337"/>
      <c r="X31" s="624">
        <v>0</v>
      </c>
      <c r="Y31" s="624"/>
      <c r="Z31" s="624">
        <v>0</v>
      </c>
      <c r="AA31" s="624"/>
      <c r="AB31" s="624">
        <v>0</v>
      </c>
      <c r="AC31" s="624"/>
      <c r="AD31" s="624">
        <v>0</v>
      </c>
      <c r="AE31" s="624"/>
      <c r="AF31" s="624">
        <v>83</v>
      </c>
      <c r="AG31" s="625"/>
      <c r="AH31" s="625">
        <v>531</v>
      </c>
      <c r="AI31" s="337"/>
      <c r="AJ31" s="337">
        <v>140</v>
      </c>
      <c r="AK31" s="337"/>
      <c r="AL31" s="337">
        <v>18</v>
      </c>
      <c r="AM31" s="337"/>
      <c r="AN31" s="337">
        <v>0</v>
      </c>
      <c r="AO31" s="337"/>
      <c r="AP31" s="337">
        <v>0</v>
      </c>
      <c r="AQ31" s="337"/>
      <c r="AR31" s="337">
        <v>0</v>
      </c>
      <c r="AS31" s="337"/>
      <c r="AT31" s="337">
        <v>0</v>
      </c>
      <c r="AU31" s="368"/>
      <c r="AV31" s="489">
        <f>SUM(D31:AU31)</f>
        <v>1182</v>
      </c>
      <c r="AW31" s="489"/>
      <c r="AX31" s="493">
        <f>AV31/AV59*100</f>
        <v>1.5894360325955408</v>
      </c>
      <c r="AY31" s="488"/>
      <c r="AZ31" s="19"/>
      <c r="BA31" s="19"/>
      <c r="BB31" s="195"/>
    </row>
    <row r="32" spans="2:54" s="3" customFormat="1" ht="30" customHeight="1" x14ac:dyDescent="0.2">
      <c r="B32" s="476"/>
      <c r="C32" s="506" t="s">
        <v>16</v>
      </c>
      <c r="D32" s="337">
        <v>0</v>
      </c>
      <c r="E32" s="621"/>
      <c r="F32" s="337">
        <v>0</v>
      </c>
      <c r="G32" s="337"/>
      <c r="H32" s="337">
        <v>0</v>
      </c>
      <c r="I32" s="337"/>
      <c r="J32" s="337">
        <v>0</v>
      </c>
      <c r="K32" s="333"/>
      <c r="L32" s="337">
        <v>16592</v>
      </c>
      <c r="M32" s="337"/>
      <c r="N32" s="337">
        <v>0</v>
      </c>
      <c r="O32" s="337"/>
      <c r="P32" s="337">
        <v>0</v>
      </c>
      <c r="Q32" s="337"/>
      <c r="R32" s="337">
        <v>0</v>
      </c>
      <c r="S32" s="337"/>
      <c r="T32" s="337">
        <v>0</v>
      </c>
      <c r="U32" s="337"/>
      <c r="V32" s="337">
        <v>0</v>
      </c>
      <c r="W32" s="337"/>
      <c r="X32" s="624">
        <v>0</v>
      </c>
      <c r="Y32" s="624"/>
      <c r="Z32" s="624">
        <v>0</v>
      </c>
      <c r="AA32" s="624"/>
      <c r="AB32" s="624">
        <v>0</v>
      </c>
      <c r="AC32" s="624"/>
      <c r="AD32" s="624">
        <v>0</v>
      </c>
      <c r="AE32" s="624"/>
      <c r="AF32" s="624">
        <v>2656</v>
      </c>
      <c r="AG32" s="625"/>
      <c r="AH32" s="625">
        <v>12936</v>
      </c>
      <c r="AI32" s="337"/>
      <c r="AJ32" s="337">
        <v>1120</v>
      </c>
      <c r="AK32" s="337"/>
      <c r="AL32" s="337">
        <v>432</v>
      </c>
      <c r="AM32" s="337"/>
      <c r="AN32" s="337">
        <v>0</v>
      </c>
      <c r="AO32" s="337"/>
      <c r="AP32" s="337">
        <v>0</v>
      </c>
      <c r="AQ32" s="333"/>
      <c r="AR32" s="337">
        <v>0</v>
      </c>
      <c r="AS32" s="337"/>
      <c r="AT32" s="337">
        <v>0</v>
      </c>
      <c r="AU32" s="368"/>
      <c r="AV32" s="489">
        <f>SUM(D32:AU32)</f>
        <v>33736</v>
      </c>
      <c r="AW32" s="489"/>
      <c r="AX32" s="493">
        <f>AV32/AV60*100</f>
        <v>0.43352805428712937</v>
      </c>
      <c r="AY32" s="488"/>
      <c r="AZ32" s="19"/>
      <c r="BA32" s="19"/>
      <c r="BB32" s="195"/>
    </row>
    <row r="33" spans="2:54" s="3" customFormat="1" ht="30" customHeight="1" x14ac:dyDescent="0.2">
      <c r="B33" s="476"/>
      <c r="C33" s="504" t="s">
        <v>164</v>
      </c>
      <c r="D33" s="505"/>
      <c r="E33" s="622"/>
      <c r="F33" s="505"/>
      <c r="G33" s="505"/>
      <c r="H33" s="505"/>
      <c r="I33" s="505"/>
      <c r="J33" s="505"/>
      <c r="K33" s="505"/>
      <c r="L33" s="505"/>
      <c r="M33" s="505"/>
      <c r="N33" s="505"/>
      <c r="O33" s="505"/>
      <c r="P33" s="505"/>
      <c r="Q33" s="505"/>
      <c r="R33" s="505"/>
      <c r="S33" s="505"/>
      <c r="T33" s="505"/>
      <c r="U33" s="505"/>
      <c r="V33" s="505"/>
      <c r="W33" s="505"/>
      <c r="X33" s="627"/>
      <c r="Y33" s="627"/>
      <c r="Z33" s="627"/>
      <c r="AA33" s="627"/>
      <c r="AB33" s="627"/>
      <c r="AC33" s="627"/>
      <c r="AD33" s="627"/>
      <c r="AE33" s="627"/>
      <c r="AF33" s="627"/>
      <c r="AG33" s="627"/>
      <c r="AH33" s="627"/>
      <c r="AI33" s="505"/>
      <c r="AJ33" s="505"/>
      <c r="AK33" s="505"/>
      <c r="AL33" s="505"/>
      <c r="AM33" s="505"/>
      <c r="AN33" s="505"/>
      <c r="AO33" s="505"/>
      <c r="AP33" s="505"/>
      <c r="AQ33" s="505"/>
      <c r="AR33" s="505"/>
      <c r="AS33" s="505"/>
      <c r="AT33" s="505"/>
      <c r="AU33" s="369"/>
      <c r="AV33" s="489"/>
      <c r="AW33" s="489"/>
      <c r="AX33" s="493"/>
      <c r="AY33" s="488"/>
      <c r="AZ33" s="7"/>
      <c r="BA33" s="7"/>
      <c r="BB33" s="7"/>
    </row>
    <row r="34" spans="2:54" s="3" customFormat="1" ht="30" customHeight="1" x14ac:dyDescent="0.2">
      <c r="B34" s="476"/>
      <c r="C34" s="506" t="s">
        <v>2</v>
      </c>
      <c r="D34" s="337">
        <v>0</v>
      </c>
      <c r="E34" s="621"/>
      <c r="F34" s="337">
        <v>0</v>
      </c>
      <c r="G34" s="337"/>
      <c r="H34" s="337">
        <v>0</v>
      </c>
      <c r="I34" s="337"/>
      <c r="J34" s="337">
        <v>0</v>
      </c>
      <c r="K34" s="337"/>
      <c r="L34" s="337">
        <v>0</v>
      </c>
      <c r="M34" s="337"/>
      <c r="N34" s="337">
        <v>0</v>
      </c>
      <c r="O34" s="337"/>
      <c r="P34" s="337">
        <v>0</v>
      </c>
      <c r="Q34" s="337"/>
      <c r="R34" s="337">
        <v>0</v>
      </c>
      <c r="S34" s="337"/>
      <c r="T34" s="337">
        <v>0</v>
      </c>
      <c r="U34" s="337"/>
      <c r="V34" s="337">
        <v>0</v>
      </c>
      <c r="W34" s="337"/>
      <c r="X34" s="624">
        <v>0</v>
      </c>
      <c r="Y34" s="624"/>
      <c r="Z34" s="624">
        <v>1</v>
      </c>
      <c r="AA34" s="624"/>
      <c r="AB34" s="624">
        <v>0</v>
      </c>
      <c r="AC34" s="624"/>
      <c r="AD34" s="624">
        <v>0</v>
      </c>
      <c r="AE34" s="624"/>
      <c r="AF34" s="624">
        <v>0</v>
      </c>
      <c r="AG34" s="625"/>
      <c r="AH34" s="625">
        <v>1</v>
      </c>
      <c r="AI34" s="337"/>
      <c r="AJ34" s="337">
        <v>0</v>
      </c>
      <c r="AK34" s="337"/>
      <c r="AL34" s="337">
        <v>0</v>
      </c>
      <c r="AM34" s="337"/>
      <c r="AN34" s="337">
        <v>2</v>
      </c>
      <c r="AO34" s="337"/>
      <c r="AP34" s="337">
        <v>0</v>
      </c>
      <c r="AQ34" s="337"/>
      <c r="AR34" s="337">
        <v>0</v>
      </c>
      <c r="AS34" s="337"/>
      <c r="AT34" s="337">
        <v>0</v>
      </c>
      <c r="AU34" s="368"/>
      <c r="AV34" s="489">
        <f>SUM(D34:AU34)</f>
        <v>4</v>
      </c>
      <c r="AW34" s="489"/>
      <c r="AX34" s="493">
        <f>AV34/AV58*100</f>
        <v>6.8965517241379306</v>
      </c>
      <c r="AY34" s="488"/>
      <c r="AZ34" s="19"/>
      <c r="BA34" s="19"/>
      <c r="BB34" s="195"/>
    </row>
    <row r="35" spans="2:54" s="3" customFormat="1" ht="30" customHeight="1" x14ac:dyDescent="0.2">
      <c r="B35" s="476"/>
      <c r="C35" s="506" t="s">
        <v>15</v>
      </c>
      <c r="D35" s="337">
        <v>0</v>
      </c>
      <c r="E35" s="621"/>
      <c r="F35" s="337">
        <v>0</v>
      </c>
      <c r="G35" s="337"/>
      <c r="H35" s="337">
        <v>0</v>
      </c>
      <c r="I35" s="337"/>
      <c r="J35" s="337">
        <v>0</v>
      </c>
      <c r="K35" s="337"/>
      <c r="L35" s="337">
        <v>0</v>
      </c>
      <c r="M35" s="337"/>
      <c r="N35" s="337">
        <v>0</v>
      </c>
      <c r="O35" s="337"/>
      <c r="P35" s="337">
        <v>0</v>
      </c>
      <c r="Q35" s="337"/>
      <c r="R35" s="337">
        <v>0</v>
      </c>
      <c r="S35" s="337"/>
      <c r="T35" s="337">
        <v>0</v>
      </c>
      <c r="U35" s="337"/>
      <c r="V35" s="337">
        <v>0</v>
      </c>
      <c r="W35" s="337"/>
      <c r="X35" s="624">
        <v>0</v>
      </c>
      <c r="Y35" s="624"/>
      <c r="Z35" s="624">
        <v>41</v>
      </c>
      <c r="AA35" s="624"/>
      <c r="AB35" s="624">
        <v>0</v>
      </c>
      <c r="AC35" s="624"/>
      <c r="AD35" s="624">
        <v>0</v>
      </c>
      <c r="AE35" s="624"/>
      <c r="AF35" s="624">
        <v>0</v>
      </c>
      <c r="AG35" s="625"/>
      <c r="AH35" s="625">
        <v>336</v>
      </c>
      <c r="AI35" s="337"/>
      <c r="AJ35" s="337">
        <v>0</v>
      </c>
      <c r="AK35" s="337"/>
      <c r="AL35" s="337">
        <v>0</v>
      </c>
      <c r="AM35" s="337"/>
      <c r="AN35" s="337">
        <v>3684</v>
      </c>
      <c r="AO35" s="337"/>
      <c r="AP35" s="337">
        <v>0</v>
      </c>
      <c r="AQ35" s="337"/>
      <c r="AR35" s="337">
        <v>0</v>
      </c>
      <c r="AS35" s="337"/>
      <c r="AT35" s="337">
        <v>0</v>
      </c>
      <c r="AU35" s="368"/>
      <c r="AV35" s="489">
        <f>SUM(D35:AU35)</f>
        <v>4061</v>
      </c>
      <c r="AW35" s="489"/>
      <c r="AX35" s="493">
        <f>AV35/AV59*100</f>
        <v>5.4608288734098922</v>
      </c>
      <c r="AY35" s="488"/>
      <c r="AZ35" s="19"/>
      <c r="BA35" s="19"/>
      <c r="BB35" s="195"/>
    </row>
    <row r="36" spans="2:54" s="3" customFormat="1" ht="30" customHeight="1" x14ac:dyDescent="0.2">
      <c r="B36" s="476"/>
      <c r="C36" s="506" t="s">
        <v>16</v>
      </c>
      <c r="D36" s="337">
        <v>0</v>
      </c>
      <c r="E36" s="621"/>
      <c r="F36" s="337">
        <v>0</v>
      </c>
      <c r="G36" s="337"/>
      <c r="H36" s="337">
        <v>0</v>
      </c>
      <c r="I36" s="337"/>
      <c r="J36" s="337">
        <v>0</v>
      </c>
      <c r="K36" s="333"/>
      <c r="L36" s="337">
        <v>7360</v>
      </c>
      <c r="M36" s="337" t="s">
        <v>62</v>
      </c>
      <c r="N36" s="337">
        <v>0</v>
      </c>
      <c r="O36" s="337"/>
      <c r="P36" s="337">
        <v>0</v>
      </c>
      <c r="Q36" s="337"/>
      <c r="R36" s="337">
        <v>0</v>
      </c>
      <c r="S36" s="337"/>
      <c r="T36" s="337">
        <v>0</v>
      </c>
      <c r="U36" s="337"/>
      <c r="V36" s="337">
        <v>0</v>
      </c>
      <c r="W36" s="337"/>
      <c r="X36" s="624">
        <v>0</v>
      </c>
      <c r="Y36" s="624"/>
      <c r="Z36" s="624">
        <v>656</v>
      </c>
      <c r="AA36" s="624"/>
      <c r="AB36" s="624">
        <v>0</v>
      </c>
      <c r="AC36" s="624"/>
      <c r="AD36" s="624">
        <v>0</v>
      </c>
      <c r="AE36" s="624"/>
      <c r="AF36" s="624">
        <v>0</v>
      </c>
      <c r="AG36" s="625"/>
      <c r="AH36" s="625">
        <v>5376</v>
      </c>
      <c r="AI36" s="337"/>
      <c r="AJ36" s="337">
        <v>0</v>
      </c>
      <c r="AK36" s="337"/>
      <c r="AL36" s="337">
        <v>0</v>
      </c>
      <c r="AM36" s="337"/>
      <c r="AN36" s="337">
        <v>87516</v>
      </c>
      <c r="AO36" s="337"/>
      <c r="AP36" s="337">
        <v>0</v>
      </c>
      <c r="AQ36" s="333"/>
      <c r="AR36" s="337">
        <v>0</v>
      </c>
      <c r="AS36" s="337"/>
      <c r="AT36" s="337">
        <v>0</v>
      </c>
      <c r="AU36" s="368"/>
      <c r="AV36" s="489">
        <f>SUM(D36:AU36)</f>
        <v>100908</v>
      </c>
      <c r="AW36" s="496"/>
      <c r="AX36" s="493">
        <f>AV36/AV60*100</f>
        <v>1.2967289809700511</v>
      </c>
      <c r="AY36" s="488"/>
      <c r="AZ36" s="19"/>
      <c r="BA36" s="19"/>
      <c r="BB36" s="195"/>
    </row>
    <row r="37" spans="2:54" s="3" customFormat="1" ht="30" customHeight="1" x14ac:dyDescent="0.2">
      <c r="B37" s="476"/>
      <c r="C37" s="504" t="s">
        <v>32</v>
      </c>
      <c r="D37" s="508"/>
      <c r="E37" s="632"/>
      <c r="F37" s="508"/>
      <c r="G37" s="508"/>
      <c r="H37" s="508"/>
      <c r="I37" s="508"/>
      <c r="J37" s="508"/>
      <c r="K37" s="508"/>
      <c r="L37" s="508"/>
      <c r="M37" s="508"/>
      <c r="N37" s="508"/>
      <c r="O37" s="508"/>
      <c r="P37" s="508"/>
      <c r="Q37" s="508"/>
      <c r="R37" s="508"/>
      <c r="S37" s="508"/>
      <c r="T37" s="508"/>
      <c r="U37" s="508"/>
      <c r="V37" s="508"/>
      <c r="W37" s="508"/>
      <c r="X37" s="628"/>
      <c r="Y37" s="628"/>
      <c r="Z37" s="628"/>
      <c r="AA37" s="628"/>
      <c r="AB37" s="628"/>
      <c r="AC37" s="628"/>
      <c r="AD37" s="628"/>
      <c r="AE37" s="628"/>
      <c r="AF37" s="628"/>
      <c r="AG37" s="628"/>
      <c r="AH37" s="628"/>
      <c r="AI37" s="508"/>
      <c r="AJ37" s="508"/>
      <c r="AK37" s="508"/>
      <c r="AL37" s="508"/>
      <c r="AM37" s="508"/>
      <c r="AN37" s="508"/>
      <c r="AO37" s="508"/>
      <c r="AP37" s="508"/>
      <c r="AQ37" s="508"/>
      <c r="AR37" s="508"/>
      <c r="AS37" s="508"/>
      <c r="AT37" s="508"/>
      <c r="AU37" s="370"/>
      <c r="AV37" s="489"/>
      <c r="AW37" s="489"/>
      <c r="AX37" s="493"/>
      <c r="AY37" s="488"/>
      <c r="AZ37" s="7"/>
      <c r="BA37" s="7"/>
      <c r="BB37" s="7"/>
    </row>
    <row r="38" spans="2:54" s="3" customFormat="1" ht="30" customHeight="1" x14ac:dyDescent="0.2">
      <c r="B38" s="476"/>
      <c r="C38" s="506" t="s">
        <v>2</v>
      </c>
      <c r="D38" s="337">
        <v>0</v>
      </c>
      <c r="E38" s="621"/>
      <c r="F38" s="337">
        <v>0</v>
      </c>
      <c r="G38" s="337"/>
      <c r="H38" s="337">
        <v>1</v>
      </c>
      <c r="I38" s="337"/>
      <c r="J38" s="337">
        <v>0</v>
      </c>
      <c r="K38" s="337"/>
      <c r="L38" s="337">
        <v>2</v>
      </c>
      <c r="M38" s="337"/>
      <c r="N38" s="337">
        <v>0</v>
      </c>
      <c r="O38" s="337"/>
      <c r="P38" s="337">
        <v>0</v>
      </c>
      <c r="Q38" s="337"/>
      <c r="R38" s="337">
        <v>0</v>
      </c>
      <c r="S38" s="337"/>
      <c r="T38" s="337">
        <v>0</v>
      </c>
      <c r="U38" s="337"/>
      <c r="V38" s="337">
        <v>0</v>
      </c>
      <c r="W38" s="337"/>
      <c r="X38" s="624">
        <v>0</v>
      </c>
      <c r="Y38" s="624"/>
      <c r="Z38" s="624">
        <v>0</v>
      </c>
      <c r="AA38" s="624"/>
      <c r="AB38" s="624">
        <v>0</v>
      </c>
      <c r="AC38" s="624"/>
      <c r="AD38" s="624">
        <v>0</v>
      </c>
      <c r="AE38" s="624"/>
      <c r="AF38" s="624">
        <v>1</v>
      </c>
      <c r="AG38" s="625"/>
      <c r="AH38" s="625">
        <v>1</v>
      </c>
      <c r="AI38" s="337"/>
      <c r="AJ38" s="337">
        <v>0</v>
      </c>
      <c r="AK38" s="337"/>
      <c r="AL38" s="337">
        <v>0</v>
      </c>
      <c r="AM38" s="337"/>
      <c r="AN38" s="337">
        <v>0</v>
      </c>
      <c r="AO38" s="337"/>
      <c r="AP38" s="337">
        <v>0</v>
      </c>
      <c r="AQ38" s="337"/>
      <c r="AR38" s="337">
        <v>0</v>
      </c>
      <c r="AS38" s="337"/>
      <c r="AT38" s="337">
        <v>0</v>
      </c>
      <c r="AU38" s="368"/>
      <c r="AV38" s="489">
        <f>SUM(D38:AU38)</f>
        <v>5</v>
      </c>
      <c r="AW38" s="489"/>
      <c r="AX38" s="493">
        <f>AV38/AV58*100</f>
        <v>8.6206896551724146</v>
      </c>
      <c r="AY38" s="488"/>
      <c r="AZ38" s="19"/>
      <c r="BA38" s="19"/>
      <c r="BB38" s="195"/>
    </row>
    <row r="39" spans="2:54" s="3" customFormat="1" ht="30" customHeight="1" x14ac:dyDescent="0.2">
      <c r="B39" s="476"/>
      <c r="C39" s="506" t="s">
        <v>15</v>
      </c>
      <c r="D39" s="337">
        <v>0</v>
      </c>
      <c r="E39" s="621"/>
      <c r="F39" s="337">
        <v>0</v>
      </c>
      <c r="G39" s="337"/>
      <c r="H39" s="337">
        <v>388</v>
      </c>
      <c r="I39" s="337"/>
      <c r="J39" s="337">
        <v>0</v>
      </c>
      <c r="K39" s="337"/>
      <c r="L39" s="337">
        <v>123</v>
      </c>
      <c r="M39" s="337"/>
      <c r="N39" s="337">
        <v>0</v>
      </c>
      <c r="O39" s="337"/>
      <c r="P39" s="337">
        <v>0</v>
      </c>
      <c r="Q39" s="337"/>
      <c r="R39" s="337">
        <v>0</v>
      </c>
      <c r="S39" s="337"/>
      <c r="T39" s="337">
        <v>0</v>
      </c>
      <c r="U39" s="337"/>
      <c r="V39" s="337">
        <v>0</v>
      </c>
      <c r="W39" s="337"/>
      <c r="X39" s="624">
        <v>0</v>
      </c>
      <c r="Y39" s="624"/>
      <c r="Z39" s="624">
        <v>0</v>
      </c>
      <c r="AA39" s="624"/>
      <c r="AB39" s="624">
        <v>0</v>
      </c>
      <c r="AC39" s="624"/>
      <c r="AD39" s="624">
        <v>0</v>
      </c>
      <c r="AE39" s="624"/>
      <c r="AF39" s="624">
        <v>1708</v>
      </c>
      <c r="AG39" s="625"/>
      <c r="AH39" s="625">
        <v>39</v>
      </c>
      <c r="AI39" s="337"/>
      <c r="AJ39" s="337">
        <v>0</v>
      </c>
      <c r="AK39" s="337"/>
      <c r="AL39" s="337">
        <v>0</v>
      </c>
      <c r="AM39" s="337"/>
      <c r="AN39" s="337">
        <v>0</v>
      </c>
      <c r="AO39" s="337"/>
      <c r="AP39" s="337">
        <v>0</v>
      </c>
      <c r="AQ39" s="337"/>
      <c r="AR39" s="337">
        <v>0</v>
      </c>
      <c r="AS39" s="337"/>
      <c r="AT39" s="337">
        <v>0</v>
      </c>
      <c r="AU39" s="368"/>
      <c r="AV39" s="489">
        <f>SUM(D39:AU39)</f>
        <v>2258</v>
      </c>
      <c r="AW39" s="489"/>
      <c r="AX39" s="493">
        <f>AV39/AV59*100</f>
        <v>3.0363338084608555</v>
      </c>
      <c r="AY39" s="488"/>
      <c r="AZ39" s="19"/>
      <c r="BA39" s="19"/>
      <c r="BB39" s="195"/>
    </row>
    <row r="40" spans="2:54" s="3" customFormat="1" ht="30" customHeight="1" x14ac:dyDescent="0.2">
      <c r="B40" s="476"/>
      <c r="C40" s="506" t="s">
        <v>16</v>
      </c>
      <c r="D40" s="337">
        <v>0</v>
      </c>
      <c r="E40" s="621"/>
      <c r="F40" s="337">
        <v>0</v>
      </c>
      <c r="G40" s="337"/>
      <c r="H40" s="337">
        <v>43456</v>
      </c>
      <c r="I40" s="337"/>
      <c r="J40" s="337">
        <v>0</v>
      </c>
      <c r="K40" s="333"/>
      <c r="L40" s="337">
        <v>2952</v>
      </c>
      <c r="M40" s="337"/>
      <c r="N40" s="337">
        <v>0</v>
      </c>
      <c r="O40" s="337"/>
      <c r="P40" s="337">
        <v>0</v>
      </c>
      <c r="Q40" s="337"/>
      <c r="R40" s="337">
        <v>0</v>
      </c>
      <c r="S40" s="337"/>
      <c r="T40" s="337">
        <v>0</v>
      </c>
      <c r="U40" s="337"/>
      <c r="V40" s="337">
        <v>0</v>
      </c>
      <c r="W40" s="337"/>
      <c r="X40" s="624">
        <v>0</v>
      </c>
      <c r="Y40" s="624"/>
      <c r="Z40" s="624">
        <v>0</v>
      </c>
      <c r="AA40" s="624"/>
      <c r="AB40" s="624">
        <v>0</v>
      </c>
      <c r="AC40" s="624"/>
      <c r="AD40" s="624">
        <v>0</v>
      </c>
      <c r="AE40" s="624"/>
      <c r="AF40" s="624">
        <v>150304</v>
      </c>
      <c r="AG40" s="625"/>
      <c r="AH40" s="625">
        <v>624</v>
      </c>
      <c r="AI40" s="337"/>
      <c r="AJ40" s="337">
        <v>0</v>
      </c>
      <c r="AK40" s="337"/>
      <c r="AL40" s="337">
        <v>0</v>
      </c>
      <c r="AM40" s="337"/>
      <c r="AN40" s="337">
        <v>0</v>
      </c>
      <c r="AO40" s="337"/>
      <c r="AP40" s="337">
        <v>0</v>
      </c>
      <c r="AQ40" s="333"/>
      <c r="AR40" s="337">
        <v>0</v>
      </c>
      <c r="AS40" s="337"/>
      <c r="AT40" s="337">
        <v>0</v>
      </c>
      <c r="AU40" s="368"/>
      <c r="AV40" s="489">
        <f>SUM(D40:AU40)</f>
        <v>197336</v>
      </c>
      <c r="AW40" s="489"/>
      <c r="AX40" s="493">
        <f>AV40/AV60*100</f>
        <v>2.5358872456961392</v>
      </c>
      <c r="AY40" s="488"/>
      <c r="AZ40" s="19"/>
      <c r="BA40" s="19"/>
      <c r="BB40" s="195"/>
    </row>
    <row r="41" spans="2:54" s="3" customFormat="1" ht="30" customHeight="1" x14ac:dyDescent="0.2">
      <c r="B41" s="476"/>
      <c r="C41" s="504" t="s">
        <v>33</v>
      </c>
      <c r="D41" s="508"/>
      <c r="E41" s="632"/>
      <c r="F41" s="508"/>
      <c r="G41" s="508"/>
      <c r="H41" s="508"/>
      <c r="I41" s="508"/>
      <c r="J41" s="508"/>
      <c r="K41" s="508"/>
      <c r="L41" s="508"/>
      <c r="M41" s="508"/>
      <c r="N41" s="508"/>
      <c r="O41" s="508"/>
      <c r="P41" s="508"/>
      <c r="Q41" s="508"/>
      <c r="R41" s="508"/>
      <c r="S41" s="508"/>
      <c r="T41" s="508"/>
      <c r="U41" s="508"/>
      <c r="V41" s="508"/>
      <c r="W41" s="508"/>
      <c r="X41" s="628"/>
      <c r="Y41" s="628"/>
      <c r="Z41" s="628"/>
      <c r="AA41" s="628"/>
      <c r="AB41" s="628"/>
      <c r="AC41" s="628"/>
      <c r="AD41" s="628"/>
      <c r="AE41" s="628"/>
      <c r="AF41" s="628"/>
      <c r="AG41" s="628"/>
      <c r="AH41" s="628"/>
      <c r="AI41" s="508"/>
      <c r="AJ41" s="508"/>
      <c r="AK41" s="508"/>
      <c r="AL41" s="508"/>
      <c r="AM41" s="508"/>
      <c r="AN41" s="508"/>
      <c r="AO41" s="508"/>
      <c r="AP41" s="508"/>
      <c r="AQ41" s="508"/>
      <c r="AR41" s="508"/>
      <c r="AS41" s="508"/>
      <c r="AT41" s="508"/>
      <c r="AU41" s="370"/>
      <c r="AV41" s="489"/>
      <c r="AW41" s="489"/>
      <c r="AX41" s="494"/>
      <c r="AY41" s="488"/>
      <c r="AZ41" s="7"/>
      <c r="BA41" s="7"/>
      <c r="BB41" s="7"/>
    </row>
    <row r="42" spans="2:54" s="3" customFormat="1" ht="30" customHeight="1" x14ac:dyDescent="0.2">
      <c r="B42" s="476"/>
      <c r="C42" s="506" t="s">
        <v>2</v>
      </c>
      <c r="D42" s="337">
        <v>0</v>
      </c>
      <c r="E42" s="621"/>
      <c r="F42" s="337">
        <v>0</v>
      </c>
      <c r="G42" s="337"/>
      <c r="H42" s="337">
        <v>0</v>
      </c>
      <c r="I42" s="337"/>
      <c r="J42" s="337">
        <v>0</v>
      </c>
      <c r="K42" s="337"/>
      <c r="L42" s="337">
        <v>0</v>
      </c>
      <c r="M42" s="337"/>
      <c r="N42" s="337">
        <v>1</v>
      </c>
      <c r="O42" s="337"/>
      <c r="P42" s="337">
        <v>0</v>
      </c>
      <c r="Q42" s="337"/>
      <c r="R42" s="337">
        <v>0</v>
      </c>
      <c r="S42" s="337"/>
      <c r="T42" s="337">
        <v>0</v>
      </c>
      <c r="U42" s="337"/>
      <c r="V42" s="337">
        <v>0</v>
      </c>
      <c r="W42" s="337"/>
      <c r="X42" s="624">
        <v>0</v>
      </c>
      <c r="Y42" s="624"/>
      <c r="Z42" s="624">
        <v>0</v>
      </c>
      <c r="AA42" s="624"/>
      <c r="AB42" s="624">
        <v>0</v>
      </c>
      <c r="AC42" s="624"/>
      <c r="AD42" s="624">
        <v>0</v>
      </c>
      <c r="AE42" s="624"/>
      <c r="AF42" s="624">
        <v>0</v>
      </c>
      <c r="AG42" s="625"/>
      <c r="AH42" s="625">
        <v>1</v>
      </c>
      <c r="AI42" s="337"/>
      <c r="AJ42" s="337">
        <v>0</v>
      </c>
      <c r="AK42" s="337"/>
      <c r="AL42" s="337">
        <v>0</v>
      </c>
      <c r="AM42" s="337"/>
      <c r="AN42" s="337">
        <v>6</v>
      </c>
      <c r="AO42" s="337"/>
      <c r="AP42" s="337">
        <v>2</v>
      </c>
      <c r="AQ42" s="337"/>
      <c r="AR42" s="337">
        <v>1</v>
      </c>
      <c r="AS42" s="337"/>
      <c r="AT42" s="337">
        <v>0</v>
      </c>
      <c r="AU42" s="368"/>
      <c r="AV42" s="489">
        <f>SUM(D42:AU42)</f>
        <v>11</v>
      </c>
      <c r="AW42" s="489"/>
      <c r="AX42" s="493">
        <f>AV42/AV58*100</f>
        <v>18.96551724137931</v>
      </c>
      <c r="AY42" s="488"/>
      <c r="AZ42" s="19"/>
      <c r="BA42" s="19"/>
      <c r="BB42" s="195"/>
    </row>
    <row r="43" spans="2:54" s="3" customFormat="1" ht="30" customHeight="1" x14ac:dyDescent="0.2">
      <c r="B43" s="476"/>
      <c r="C43" s="506" t="s">
        <v>15</v>
      </c>
      <c r="D43" s="337">
        <v>0</v>
      </c>
      <c r="E43" s="621"/>
      <c r="F43" s="337">
        <v>0</v>
      </c>
      <c r="G43" s="337"/>
      <c r="H43" s="337">
        <v>0</v>
      </c>
      <c r="I43" s="337"/>
      <c r="J43" s="337">
        <v>0</v>
      </c>
      <c r="K43" s="337"/>
      <c r="L43" s="337">
        <v>0</v>
      </c>
      <c r="M43" s="337"/>
      <c r="N43" s="337">
        <v>165</v>
      </c>
      <c r="O43" s="337"/>
      <c r="P43" s="337">
        <v>0</v>
      </c>
      <c r="Q43" s="337"/>
      <c r="R43" s="337">
        <v>0</v>
      </c>
      <c r="S43" s="337"/>
      <c r="T43" s="337">
        <v>0</v>
      </c>
      <c r="U43" s="337"/>
      <c r="V43" s="337">
        <v>0</v>
      </c>
      <c r="W43" s="337"/>
      <c r="X43" s="624">
        <v>0</v>
      </c>
      <c r="Y43" s="624"/>
      <c r="Z43" s="624">
        <v>0</v>
      </c>
      <c r="AA43" s="624"/>
      <c r="AB43" s="624">
        <v>0</v>
      </c>
      <c r="AC43" s="624"/>
      <c r="AD43" s="624">
        <v>0</v>
      </c>
      <c r="AE43" s="624"/>
      <c r="AF43" s="624">
        <v>0</v>
      </c>
      <c r="AG43" s="625"/>
      <c r="AH43" s="625">
        <v>50</v>
      </c>
      <c r="AI43" s="337"/>
      <c r="AJ43" s="337">
        <v>0</v>
      </c>
      <c r="AK43" s="337"/>
      <c r="AL43" s="337">
        <v>0</v>
      </c>
      <c r="AM43" s="337"/>
      <c r="AN43" s="337">
        <v>16450</v>
      </c>
      <c r="AO43" s="337"/>
      <c r="AP43" s="337">
        <v>703</v>
      </c>
      <c r="AQ43" s="337"/>
      <c r="AR43" s="337">
        <v>900</v>
      </c>
      <c r="AS43" s="337"/>
      <c r="AT43" s="337">
        <v>0</v>
      </c>
      <c r="AU43" s="368"/>
      <c r="AV43" s="489">
        <f>SUM(D43:AU43)</f>
        <v>18268</v>
      </c>
      <c r="AW43" s="489"/>
      <c r="AX43" s="493">
        <f>AV43/AV59*100</f>
        <v>24.564989376865771</v>
      </c>
      <c r="AY43" s="488"/>
      <c r="AZ43" s="19"/>
      <c r="BA43" s="19"/>
      <c r="BB43" s="195"/>
    </row>
    <row r="44" spans="2:54" s="3" customFormat="1" ht="30" customHeight="1" x14ac:dyDescent="0.2">
      <c r="B44" s="476"/>
      <c r="C44" s="506" t="s">
        <v>16</v>
      </c>
      <c r="D44" s="337">
        <v>0</v>
      </c>
      <c r="E44" s="621"/>
      <c r="F44" s="337">
        <v>0</v>
      </c>
      <c r="G44" s="337"/>
      <c r="H44" s="337">
        <v>9312</v>
      </c>
      <c r="I44" s="337" t="s">
        <v>62</v>
      </c>
      <c r="J44" s="337">
        <v>0</v>
      </c>
      <c r="K44" s="333"/>
      <c r="L44" s="337">
        <v>8400</v>
      </c>
      <c r="M44" s="337" t="s">
        <v>62</v>
      </c>
      <c r="N44" s="337">
        <v>10560</v>
      </c>
      <c r="O44" s="337"/>
      <c r="P44" s="337">
        <v>0</v>
      </c>
      <c r="Q44" s="337"/>
      <c r="R44" s="337">
        <v>0</v>
      </c>
      <c r="S44" s="337"/>
      <c r="T44" s="337">
        <v>0</v>
      </c>
      <c r="U44" s="337"/>
      <c r="V44" s="337">
        <v>0</v>
      </c>
      <c r="W44" s="337"/>
      <c r="X44" s="624">
        <v>0</v>
      </c>
      <c r="Y44" s="624"/>
      <c r="Z44" s="624">
        <v>0</v>
      </c>
      <c r="AA44" s="624"/>
      <c r="AB44" s="624">
        <v>0</v>
      </c>
      <c r="AC44" s="624"/>
      <c r="AD44" s="624">
        <v>0</v>
      </c>
      <c r="AE44" s="624"/>
      <c r="AF44" s="624">
        <v>109312</v>
      </c>
      <c r="AG44" s="625" t="s">
        <v>62</v>
      </c>
      <c r="AH44" s="625">
        <v>1200</v>
      </c>
      <c r="AI44" s="337"/>
      <c r="AJ44" s="337">
        <v>0</v>
      </c>
      <c r="AK44" s="337"/>
      <c r="AL44" s="337">
        <v>0</v>
      </c>
      <c r="AM44" s="337"/>
      <c r="AN44" s="337">
        <v>1179594</v>
      </c>
      <c r="AO44" s="337"/>
      <c r="AP44" s="337">
        <v>50616</v>
      </c>
      <c r="AQ44" s="333"/>
      <c r="AR44" s="337">
        <v>14400</v>
      </c>
      <c r="AS44" s="337"/>
      <c r="AT44" s="337">
        <v>0</v>
      </c>
      <c r="AU44" s="368"/>
      <c r="AV44" s="489">
        <f>SUM(D44:AU44)</f>
        <v>1383394</v>
      </c>
      <c r="AW44" s="489"/>
      <c r="AX44" s="493">
        <f>AV44/AV60*100</f>
        <v>17.777451657946674</v>
      </c>
      <c r="AY44" s="488"/>
      <c r="AZ44" s="19"/>
      <c r="BA44" s="19"/>
      <c r="BB44" s="195"/>
    </row>
    <row r="45" spans="2:54" s="3" customFormat="1" ht="30" customHeight="1" x14ac:dyDescent="0.2">
      <c r="B45" s="476"/>
      <c r="C45" s="504" t="s">
        <v>34</v>
      </c>
      <c r="D45" s="508"/>
      <c r="E45" s="632"/>
      <c r="F45" s="508"/>
      <c r="G45" s="508"/>
      <c r="H45" s="508"/>
      <c r="I45" s="508"/>
      <c r="J45" s="508"/>
      <c r="K45" s="508"/>
      <c r="L45" s="508"/>
      <c r="M45" s="508"/>
      <c r="N45" s="508"/>
      <c r="O45" s="508"/>
      <c r="P45" s="508"/>
      <c r="Q45" s="508"/>
      <c r="R45" s="508"/>
      <c r="S45" s="508"/>
      <c r="T45" s="508"/>
      <c r="U45" s="508"/>
      <c r="V45" s="508"/>
      <c r="W45" s="508"/>
      <c r="X45" s="628"/>
      <c r="Y45" s="628"/>
      <c r="Z45" s="628"/>
      <c r="AA45" s="628"/>
      <c r="AB45" s="628"/>
      <c r="AC45" s="628"/>
      <c r="AD45" s="628"/>
      <c r="AE45" s="628"/>
      <c r="AF45" s="628"/>
      <c r="AG45" s="628"/>
      <c r="AH45" s="628"/>
      <c r="AI45" s="508"/>
      <c r="AJ45" s="508"/>
      <c r="AK45" s="508"/>
      <c r="AL45" s="508"/>
      <c r="AM45" s="508"/>
      <c r="AN45" s="508"/>
      <c r="AO45" s="508"/>
      <c r="AP45" s="508"/>
      <c r="AQ45" s="508"/>
      <c r="AR45" s="508"/>
      <c r="AS45" s="508"/>
      <c r="AT45" s="508"/>
      <c r="AU45" s="370"/>
      <c r="AV45" s="489"/>
      <c r="AW45" s="489"/>
      <c r="AX45" s="494"/>
      <c r="AY45" s="488"/>
      <c r="AZ45" s="7"/>
      <c r="BA45" s="7"/>
      <c r="BB45" s="7"/>
    </row>
    <row r="46" spans="2:54" s="3" customFormat="1" ht="30" customHeight="1" x14ac:dyDescent="0.2">
      <c r="B46" s="476"/>
      <c r="C46" s="506" t="s">
        <v>2</v>
      </c>
      <c r="D46" s="337">
        <v>0</v>
      </c>
      <c r="E46" s="621"/>
      <c r="F46" s="337">
        <v>0</v>
      </c>
      <c r="G46" s="337"/>
      <c r="H46" s="337">
        <v>0</v>
      </c>
      <c r="I46" s="337"/>
      <c r="J46" s="337">
        <v>0</v>
      </c>
      <c r="K46" s="337"/>
      <c r="L46" s="337">
        <v>1</v>
      </c>
      <c r="M46" s="337"/>
      <c r="N46" s="337">
        <v>0</v>
      </c>
      <c r="O46" s="337"/>
      <c r="P46" s="337">
        <v>0</v>
      </c>
      <c r="Q46" s="337"/>
      <c r="R46" s="337">
        <v>0</v>
      </c>
      <c r="S46" s="337"/>
      <c r="T46" s="337">
        <v>0</v>
      </c>
      <c r="U46" s="337"/>
      <c r="V46" s="337">
        <v>0</v>
      </c>
      <c r="W46" s="337"/>
      <c r="X46" s="624">
        <v>0</v>
      </c>
      <c r="Y46" s="624"/>
      <c r="Z46" s="624">
        <v>0</v>
      </c>
      <c r="AA46" s="624"/>
      <c r="AB46" s="624">
        <v>0</v>
      </c>
      <c r="AC46" s="624"/>
      <c r="AD46" s="624">
        <v>0</v>
      </c>
      <c r="AE46" s="624"/>
      <c r="AF46" s="624">
        <v>2</v>
      </c>
      <c r="AG46" s="625"/>
      <c r="AH46" s="625">
        <v>1</v>
      </c>
      <c r="AI46" s="337"/>
      <c r="AJ46" s="337">
        <v>0</v>
      </c>
      <c r="AK46" s="337"/>
      <c r="AL46" s="337">
        <v>0</v>
      </c>
      <c r="AM46" s="337"/>
      <c r="AN46" s="337">
        <v>0</v>
      </c>
      <c r="AO46" s="337"/>
      <c r="AP46" s="337">
        <v>0</v>
      </c>
      <c r="AQ46" s="337"/>
      <c r="AR46" s="337">
        <v>0</v>
      </c>
      <c r="AS46" s="337"/>
      <c r="AT46" s="337">
        <v>0</v>
      </c>
      <c r="AU46" s="368"/>
      <c r="AV46" s="489">
        <f>SUM(D46:AU46)</f>
        <v>4</v>
      </c>
      <c r="AW46" s="489"/>
      <c r="AX46" s="493">
        <f>AV46/AV58*100</f>
        <v>6.8965517241379306</v>
      </c>
      <c r="AY46" s="488"/>
      <c r="AZ46" s="19"/>
      <c r="BA46" s="19"/>
      <c r="BB46" s="195"/>
    </row>
    <row r="47" spans="2:54" s="3" customFormat="1" ht="30" customHeight="1" x14ac:dyDescent="0.2">
      <c r="B47" s="476"/>
      <c r="C47" s="506" t="s">
        <v>15</v>
      </c>
      <c r="D47" s="337">
        <v>0</v>
      </c>
      <c r="E47" s="621"/>
      <c r="F47" s="337">
        <v>0</v>
      </c>
      <c r="G47" s="337"/>
      <c r="H47" s="337">
        <v>0</v>
      </c>
      <c r="I47" s="337"/>
      <c r="J47" s="337">
        <v>0</v>
      </c>
      <c r="K47" s="337"/>
      <c r="L47" s="337">
        <v>120</v>
      </c>
      <c r="M47" s="337"/>
      <c r="N47" s="337">
        <v>0</v>
      </c>
      <c r="O47" s="337"/>
      <c r="P47" s="337">
        <v>0</v>
      </c>
      <c r="Q47" s="337"/>
      <c r="R47" s="337">
        <v>0</v>
      </c>
      <c r="S47" s="337"/>
      <c r="T47" s="337">
        <v>0</v>
      </c>
      <c r="U47" s="337"/>
      <c r="V47" s="337">
        <v>0</v>
      </c>
      <c r="W47" s="337"/>
      <c r="X47" s="624">
        <v>0</v>
      </c>
      <c r="Y47" s="624"/>
      <c r="Z47" s="624">
        <v>0</v>
      </c>
      <c r="AA47" s="624"/>
      <c r="AB47" s="624">
        <v>0</v>
      </c>
      <c r="AC47" s="624"/>
      <c r="AD47" s="624">
        <v>0</v>
      </c>
      <c r="AE47" s="624"/>
      <c r="AF47" s="624">
        <v>8527</v>
      </c>
      <c r="AG47" s="625"/>
      <c r="AH47" s="625">
        <v>30</v>
      </c>
      <c r="AI47" s="337"/>
      <c r="AJ47" s="337">
        <v>0</v>
      </c>
      <c r="AK47" s="337"/>
      <c r="AL47" s="337">
        <v>0</v>
      </c>
      <c r="AM47" s="337"/>
      <c r="AN47" s="337">
        <v>0</v>
      </c>
      <c r="AO47" s="337"/>
      <c r="AP47" s="337">
        <v>0</v>
      </c>
      <c r="AQ47" s="337"/>
      <c r="AR47" s="337">
        <v>0</v>
      </c>
      <c r="AS47" s="337"/>
      <c r="AT47" s="337">
        <v>0</v>
      </c>
      <c r="AU47" s="368"/>
      <c r="AV47" s="489">
        <f>SUM(D47:AU47)</f>
        <v>8677</v>
      </c>
      <c r="AW47" s="489"/>
      <c r="AX47" s="493">
        <f>AV47/AV59*100</f>
        <v>11.667966543850685</v>
      </c>
      <c r="AY47" s="488"/>
      <c r="AZ47" s="19"/>
      <c r="BA47" s="19"/>
      <c r="BB47" s="195"/>
    </row>
    <row r="48" spans="2:54" s="3" customFormat="1" ht="30" customHeight="1" x14ac:dyDescent="0.2">
      <c r="B48" s="476"/>
      <c r="C48" s="506" t="s">
        <v>16</v>
      </c>
      <c r="D48" s="337">
        <v>0</v>
      </c>
      <c r="E48" s="621"/>
      <c r="F48" s="337">
        <v>0</v>
      </c>
      <c r="G48" s="337"/>
      <c r="H48" s="337">
        <v>0</v>
      </c>
      <c r="I48" s="337"/>
      <c r="J48" s="337">
        <v>0</v>
      </c>
      <c r="K48" s="333"/>
      <c r="L48" s="337">
        <v>1920</v>
      </c>
      <c r="M48" s="337"/>
      <c r="N48" s="337">
        <v>0</v>
      </c>
      <c r="O48" s="337"/>
      <c r="P48" s="337">
        <v>0</v>
      </c>
      <c r="Q48" s="337"/>
      <c r="R48" s="337">
        <v>0</v>
      </c>
      <c r="S48" s="337"/>
      <c r="T48" s="337">
        <v>0</v>
      </c>
      <c r="U48" s="337"/>
      <c r="V48" s="337">
        <v>0</v>
      </c>
      <c r="W48" s="337"/>
      <c r="X48" s="624">
        <v>0</v>
      </c>
      <c r="Y48" s="624"/>
      <c r="Z48" s="624">
        <v>0</v>
      </c>
      <c r="AA48" s="624"/>
      <c r="AB48" s="624">
        <v>0</v>
      </c>
      <c r="AC48" s="624"/>
      <c r="AD48" s="624">
        <v>0</v>
      </c>
      <c r="AE48" s="624"/>
      <c r="AF48" s="624">
        <v>136216</v>
      </c>
      <c r="AG48" s="625"/>
      <c r="AH48" s="625">
        <v>240</v>
      </c>
      <c r="AI48" s="337"/>
      <c r="AJ48" s="337">
        <v>0</v>
      </c>
      <c r="AK48" s="337"/>
      <c r="AL48" s="337">
        <v>0</v>
      </c>
      <c r="AM48" s="337"/>
      <c r="AN48" s="337">
        <v>0</v>
      </c>
      <c r="AO48" s="337"/>
      <c r="AP48" s="337">
        <v>0</v>
      </c>
      <c r="AQ48" s="333"/>
      <c r="AR48" s="337">
        <v>0</v>
      </c>
      <c r="AS48" s="337"/>
      <c r="AT48" s="337">
        <v>0</v>
      </c>
      <c r="AU48" s="368"/>
      <c r="AV48" s="489">
        <f>SUM(D48:AU48)</f>
        <v>138376</v>
      </c>
      <c r="AW48" s="489"/>
      <c r="AX48" s="493">
        <f>AV48/AV60*100</f>
        <v>1.7782154979854106</v>
      </c>
      <c r="AY48" s="488"/>
      <c r="AZ48" s="19"/>
      <c r="BA48" s="19"/>
      <c r="BB48" s="195"/>
    </row>
    <row r="49" spans="2:56" s="3" customFormat="1" ht="30" customHeight="1" x14ac:dyDescent="0.2">
      <c r="B49" s="476"/>
      <c r="C49" s="504" t="s">
        <v>35</v>
      </c>
      <c r="D49" s="508"/>
      <c r="E49" s="632"/>
      <c r="F49" s="508"/>
      <c r="G49" s="508"/>
      <c r="H49" s="508"/>
      <c r="I49" s="508"/>
      <c r="J49" s="508"/>
      <c r="K49" s="508"/>
      <c r="L49" s="508"/>
      <c r="M49" s="508"/>
      <c r="N49" s="508"/>
      <c r="O49" s="508"/>
      <c r="P49" s="508"/>
      <c r="Q49" s="508"/>
      <c r="R49" s="508"/>
      <c r="S49" s="508"/>
      <c r="T49" s="508"/>
      <c r="U49" s="508"/>
      <c r="V49" s="508"/>
      <c r="W49" s="508"/>
      <c r="X49" s="628"/>
      <c r="Y49" s="628"/>
      <c r="Z49" s="628"/>
      <c r="AA49" s="628"/>
      <c r="AB49" s="628"/>
      <c r="AC49" s="628"/>
      <c r="AD49" s="628"/>
      <c r="AE49" s="628"/>
      <c r="AF49" s="628"/>
      <c r="AG49" s="628"/>
      <c r="AH49" s="628"/>
      <c r="AI49" s="508"/>
      <c r="AJ49" s="508"/>
      <c r="AK49" s="508"/>
      <c r="AL49" s="508"/>
      <c r="AM49" s="508"/>
      <c r="AN49" s="508"/>
      <c r="AO49" s="508"/>
      <c r="AP49" s="508"/>
      <c r="AQ49" s="508"/>
      <c r="AR49" s="508"/>
      <c r="AS49" s="508"/>
      <c r="AT49" s="508"/>
      <c r="AU49" s="370"/>
      <c r="AV49" s="489"/>
      <c r="AW49" s="489"/>
      <c r="AX49" s="494"/>
      <c r="AY49" s="488"/>
      <c r="AZ49" s="7"/>
      <c r="BA49" s="7"/>
      <c r="BB49" s="7"/>
    </row>
    <row r="50" spans="2:56" s="3" customFormat="1" ht="30" customHeight="1" x14ac:dyDescent="0.2">
      <c r="B50" s="476"/>
      <c r="C50" s="506" t="s">
        <v>2</v>
      </c>
      <c r="D50" s="337">
        <v>0</v>
      </c>
      <c r="E50" s="621"/>
      <c r="F50" s="337">
        <v>0</v>
      </c>
      <c r="G50" s="337"/>
      <c r="H50" s="337">
        <v>0</v>
      </c>
      <c r="I50" s="337"/>
      <c r="J50" s="337">
        <v>0</v>
      </c>
      <c r="K50" s="337"/>
      <c r="L50" s="337">
        <v>0</v>
      </c>
      <c r="M50" s="337"/>
      <c r="N50" s="337">
        <v>0</v>
      </c>
      <c r="O50" s="337"/>
      <c r="P50" s="337">
        <v>0</v>
      </c>
      <c r="Q50" s="337"/>
      <c r="R50" s="337">
        <v>0</v>
      </c>
      <c r="S50" s="337"/>
      <c r="T50" s="337">
        <v>0</v>
      </c>
      <c r="U50" s="337"/>
      <c r="V50" s="337">
        <v>0</v>
      </c>
      <c r="W50" s="337"/>
      <c r="X50" s="624">
        <v>0</v>
      </c>
      <c r="Y50" s="624"/>
      <c r="Z50" s="624">
        <v>0</v>
      </c>
      <c r="AA50" s="624"/>
      <c r="AB50" s="624">
        <v>0</v>
      </c>
      <c r="AC50" s="624"/>
      <c r="AD50" s="624">
        <v>0</v>
      </c>
      <c r="AE50" s="624"/>
      <c r="AF50" s="624">
        <v>2</v>
      </c>
      <c r="AG50" s="625"/>
      <c r="AH50" s="625">
        <v>4</v>
      </c>
      <c r="AI50" s="337"/>
      <c r="AJ50" s="337">
        <v>0</v>
      </c>
      <c r="AK50" s="337"/>
      <c r="AL50" s="337">
        <v>1</v>
      </c>
      <c r="AM50" s="337"/>
      <c r="AN50" s="337">
        <v>0</v>
      </c>
      <c r="AO50" s="337"/>
      <c r="AP50" s="337">
        <v>0</v>
      </c>
      <c r="AQ50" s="337"/>
      <c r="AR50" s="337">
        <v>0</v>
      </c>
      <c r="AS50" s="337"/>
      <c r="AT50" s="337">
        <v>0</v>
      </c>
      <c r="AU50" s="368"/>
      <c r="AV50" s="489">
        <f>SUM(D50:AU50)</f>
        <v>7</v>
      </c>
      <c r="AW50" s="489"/>
      <c r="AX50" s="493">
        <f>AV50/AV58*100</f>
        <v>12.068965517241379</v>
      </c>
      <c r="AY50" s="488"/>
      <c r="AZ50" s="19"/>
      <c r="BA50" s="19"/>
      <c r="BB50" s="195"/>
    </row>
    <row r="51" spans="2:56" s="3" customFormat="1" ht="30" customHeight="1" x14ac:dyDescent="0.2">
      <c r="B51" s="476"/>
      <c r="C51" s="506" t="s">
        <v>15</v>
      </c>
      <c r="D51" s="337">
        <v>0</v>
      </c>
      <c r="E51" s="621"/>
      <c r="F51" s="337">
        <v>0</v>
      </c>
      <c r="G51" s="337"/>
      <c r="H51" s="337">
        <v>0</v>
      </c>
      <c r="I51" s="337"/>
      <c r="J51" s="337">
        <v>0</v>
      </c>
      <c r="K51" s="337"/>
      <c r="L51" s="337">
        <v>0</v>
      </c>
      <c r="M51" s="337"/>
      <c r="N51" s="337">
        <v>0</v>
      </c>
      <c r="O51" s="337"/>
      <c r="P51" s="337">
        <v>0</v>
      </c>
      <c r="Q51" s="337"/>
      <c r="R51" s="337">
        <v>0</v>
      </c>
      <c r="S51" s="337"/>
      <c r="T51" s="337">
        <v>0</v>
      </c>
      <c r="U51" s="337"/>
      <c r="V51" s="337">
        <v>0</v>
      </c>
      <c r="W51" s="337"/>
      <c r="X51" s="624">
        <v>0</v>
      </c>
      <c r="Y51" s="624"/>
      <c r="Z51" s="624">
        <v>0</v>
      </c>
      <c r="AA51" s="624"/>
      <c r="AB51" s="624">
        <v>0</v>
      </c>
      <c r="AC51" s="624"/>
      <c r="AD51" s="624">
        <v>0</v>
      </c>
      <c r="AE51" s="624"/>
      <c r="AF51" s="624">
        <v>82</v>
      </c>
      <c r="AG51" s="625"/>
      <c r="AH51" s="625">
        <v>36640</v>
      </c>
      <c r="AI51" s="337"/>
      <c r="AJ51" s="337">
        <v>0</v>
      </c>
      <c r="AK51" s="337"/>
      <c r="AL51" s="337">
        <v>200</v>
      </c>
      <c r="AM51" s="337"/>
      <c r="AN51" s="337">
        <v>0</v>
      </c>
      <c r="AO51" s="337"/>
      <c r="AP51" s="337">
        <v>0</v>
      </c>
      <c r="AQ51" s="337"/>
      <c r="AR51" s="337">
        <v>0</v>
      </c>
      <c r="AS51" s="337"/>
      <c r="AT51" s="337">
        <v>0</v>
      </c>
      <c r="AU51" s="368"/>
      <c r="AV51" s="489">
        <f>SUM(D51:AU51)</f>
        <v>36922</v>
      </c>
      <c r="AW51" s="489"/>
      <c r="AX51" s="493">
        <f>AV51/AV59*100</f>
        <v>49.649033160315199</v>
      </c>
      <c r="AY51" s="488"/>
      <c r="AZ51" s="19"/>
      <c r="BA51" s="19"/>
      <c r="BB51" s="195"/>
    </row>
    <row r="52" spans="2:56" s="3" customFormat="1" ht="30" customHeight="1" x14ac:dyDescent="0.2">
      <c r="B52" s="476"/>
      <c r="C52" s="506" t="s">
        <v>16</v>
      </c>
      <c r="D52" s="337">
        <v>0</v>
      </c>
      <c r="E52" s="621"/>
      <c r="F52" s="337">
        <v>0</v>
      </c>
      <c r="G52" s="337"/>
      <c r="H52" s="337">
        <v>0</v>
      </c>
      <c r="I52" s="337"/>
      <c r="J52" s="337">
        <v>0</v>
      </c>
      <c r="K52" s="333"/>
      <c r="L52" s="337">
        <v>0</v>
      </c>
      <c r="M52" s="337"/>
      <c r="N52" s="337">
        <v>0</v>
      </c>
      <c r="O52" s="337"/>
      <c r="P52" s="337">
        <v>0</v>
      </c>
      <c r="Q52" s="337"/>
      <c r="R52" s="337">
        <v>0</v>
      </c>
      <c r="S52" s="337"/>
      <c r="T52" s="337">
        <v>0</v>
      </c>
      <c r="U52" s="337"/>
      <c r="V52" s="337">
        <v>0</v>
      </c>
      <c r="W52" s="337"/>
      <c r="X52" s="624">
        <v>0</v>
      </c>
      <c r="Y52" s="624"/>
      <c r="Z52" s="624">
        <v>0</v>
      </c>
      <c r="AA52" s="624"/>
      <c r="AB52" s="624">
        <v>0</v>
      </c>
      <c r="AC52" s="624"/>
      <c r="AD52" s="624">
        <v>0</v>
      </c>
      <c r="AE52" s="624"/>
      <c r="AF52" s="624">
        <v>1312</v>
      </c>
      <c r="AG52" s="625"/>
      <c r="AH52" s="625">
        <v>4697600</v>
      </c>
      <c r="AI52" s="337"/>
      <c r="AJ52" s="337">
        <v>0</v>
      </c>
      <c r="AK52" s="337"/>
      <c r="AL52" s="337">
        <v>1600</v>
      </c>
      <c r="AM52" s="337"/>
      <c r="AN52" s="337">
        <v>0</v>
      </c>
      <c r="AO52" s="337"/>
      <c r="AP52" s="337">
        <v>0</v>
      </c>
      <c r="AQ52" s="333"/>
      <c r="AR52" s="337">
        <v>0</v>
      </c>
      <c r="AS52" s="337"/>
      <c r="AT52" s="337">
        <v>0</v>
      </c>
      <c r="AU52" s="368"/>
      <c r="AV52" s="489">
        <f>SUM(D52:AU52)</f>
        <v>4700512</v>
      </c>
      <c r="AW52" s="489"/>
      <c r="AX52" s="493">
        <f>AV52/AV60*100</f>
        <v>60.404429141371317</v>
      </c>
      <c r="AY52" s="488"/>
      <c r="AZ52" s="19"/>
      <c r="BA52" s="19"/>
      <c r="BB52" s="195"/>
    </row>
    <row r="53" spans="2:56" s="3" customFormat="1" ht="30" customHeight="1" x14ac:dyDescent="0.2">
      <c r="B53" s="476"/>
      <c r="C53" s="504" t="s">
        <v>146</v>
      </c>
      <c r="D53" s="508"/>
      <c r="E53" s="632"/>
      <c r="F53" s="508"/>
      <c r="G53" s="508"/>
      <c r="H53" s="508"/>
      <c r="I53" s="508"/>
      <c r="J53" s="508"/>
      <c r="K53" s="508"/>
      <c r="L53" s="508"/>
      <c r="M53" s="508"/>
      <c r="N53" s="508"/>
      <c r="O53" s="508"/>
      <c r="P53" s="508"/>
      <c r="Q53" s="508"/>
      <c r="R53" s="508"/>
      <c r="S53" s="508"/>
      <c r="T53" s="508"/>
      <c r="U53" s="508"/>
      <c r="V53" s="508"/>
      <c r="W53" s="508"/>
      <c r="X53" s="628"/>
      <c r="Y53" s="628"/>
      <c r="Z53" s="628"/>
      <c r="AA53" s="628"/>
      <c r="AB53" s="628"/>
      <c r="AC53" s="628"/>
      <c r="AD53" s="628"/>
      <c r="AE53" s="628"/>
      <c r="AF53" s="628"/>
      <c r="AG53" s="628"/>
      <c r="AH53" s="628"/>
      <c r="AI53" s="508"/>
      <c r="AJ53" s="508"/>
      <c r="AK53" s="508"/>
      <c r="AL53" s="508"/>
      <c r="AM53" s="508"/>
      <c r="AN53" s="508"/>
      <c r="AO53" s="508"/>
      <c r="AP53" s="508"/>
      <c r="AQ53" s="508"/>
      <c r="AR53" s="508"/>
      <c r="AS53" s="508"/>
      <c r="AT53" s="508"/>
      <c r="AU53" s="370"/>
      <c r="AV53" s="489"/>
      <c r="AW53" s="489"/>
      <c r="AX53" s="494"/>
      <c r="AY53" s="488"/>
      <c r="AZ53" s="7"/>
      <c r="BA53" s="7"/>
      <c r="BB53" s="7"/>
    </row>
    <row r="54" spans="2:56" s="3" customFormat="1" ht="30" customHeight="1" x14ac:dyDescent="0.2">
      <c r="B54" s="476"/>
      <c r="C54" s="506" t="s">
        <v>2</v>
      </c>
      <c r="D54" s="337">
        <v>0</v>
      </c>
      <c r="E54" s="621"/>
      <c r="F54" s="337">
        <v>0</v>
      </c>
      <c r="G54" s="337"/>
      <c r="H54" s="337">
        <v>0</v>
      </c>
      <c r="I54" s="337"/>
      <c r="J54" s="337">
        <v>0</v>
      </c>
      <c r="K54" s="337"/>
      <c r="L54" s="337">
        <v>0</v>
      </c>
      <c r="M54" s="337"/>
      <c r="N54" s="337">
        <v>1</v>
      </c>
      <c r="O54" s="337"/>
      <c r="P54" s="337">
        <v>0</v>
      </c>
      <c r="Q54" s="337"/>
      <c r="R54" s="337">
        <v>0</v>
      </c>
      <c r="S54" s="337"/>
      <c r="T54" s="337">
        <v>0</v>
      </c>
      <c r="U54" s="337"/>
      <c r="V54" s="337">
        <v>0</v>
      </c>
      <c r="W54" s="337"/>
      <c r="X54" s="624">
        <v>0</v>
      </c>
      <c r="Y54" s="624"/>
      <c r="Z54" s="624">
        <v>0</v>
      </c>
      <c r="AA54" s="624"/>
      <c r="AB54" s="624">
        <v>0</v>
      </c>
      <c r="AC54" s="624"/>
      <c r="AD54" s="624">
        <v>0</v>
      </c>
      <c r="AE54" s="624"/>
      <c r="AF54" s="624">
        <v>0</v>
      </c>
      <c r="AG54" s="625"/>
      <c r="AH54" s="625">
        <v>0</v>
      </c>
      <c r="AI54" s="337"/>
      <c r="AJ54" s="337">
        <v>0</v>
      </c>
      <c r="AK54" s="337"/>
      <c r="AL54" s="337">
        <v>0</v>
      </c>
      <c r="AM54" s="337"/>
      <c r="AN54" s="337">
        <v>0</v>
      </c>
      <c r="AO54" s="337"/>
      <c r="AP54" s="337">
        <v>0</v>
      </c>
      <c r="AQ54" s="337"/>
      <c r="AR54" s="337">
        <v>0</v>
      </c>
      <c r="AS54" s="337"/>
      <c r="AT54" s="337">
        <v>0</v>
      </c>
      <c r="AU54" s="368"/>
      <c r="AV54" s="489">
        <f>SUM(D54:AU54)</f>
        <v>1</v>
      </c>
      <c r="AW54" s="489"/>
      <c r="AX54" s="493">
        <f>AV54/AV58*100</f>
        <v>1.7241379310344827</v>
      </c>
      <c r="AY54" s="488"/>
      <c r="AZ54" s="19"/>
      <c r="BA54" s="19"/>
      <c r="BB54" s="195"/>
    </row>
    <row r="55" spans="2:56" s="3" customFormat="1" ht="30" customHeight="1" x14ac:dyDescent="0.2">
      <c r="B55" s="476"/>
      <c r="C55" s="506" t="s">
        <v>15</v>
      </c>
      <c r="D55" s="337">
        <v>0</v>
      </c>
      <c r="E55" s="621"/>
      <c r="F55" s="337">
        <v>0</v>
      </c>
      <c r="G55" s="337"/>
      <c r="H55" s="337">
        <v>0</v>
      </c>
      <c r="I55" s="337"/>
      <c r="J55" s="337">
        <v>0</v>
      </c>
      <c r="K55" s="337"/>
      <c r="L55" s="337">
        <v>0</v>
      </c>
      <c r="M55" s="337"/>
      <c r="N55" s="337">
        <v>890</v>
      </c>
      <c r="O55" s="337"/>
      <c r="P55" s="337">
        <v>0</v>
      </c>
      <c r="Q55" s="337"/>
      <c r="R55" s="337">
        <v>0</v>
      </c>
      <c r="S55" s="337"/>
      <c r="T55" s="337">
        <v>0</v>
      </c>
      <c r="U55" s="337"/>
      <c r="V55" s="337">
        <v>0</v>
      </c>
      <c r="W55" s="337"/>
      <c r="X55" s="624">
        <v>0</v>
      </c>
      <c r="Y55" s="624"/>
      <c r="Z55" s="624">
        <v>0</v>
      </c>
      <c r="AA55" s="624"/>
      <c r="AB55" s="624">
        <v>0</v>
      </c>
      <c r="AC55" s="624"/>
      <c r="AD55" s="624">
        <v>0</v>
      </c>
      <c r="AE55" s="624"/>
      <c r="AF55" s="624">
        <v>0</v>
      </c>
      <c r="AG55" s="625"/>
      <c r="AH55" s="625">
        <v>0</v>
      </c>
      <c r="AI55" s="337"/>
      <c r="AJ55" s="337">
        <v>0</v>
      </c>
      <c r="AK55" s="337"/>
      <c r="AL55" s="337">
        <v>0</v>
      </c>
      <c r="AM55" s="337"/>
      <c r="AN55" s="337">
        <v>0</v>
      </c>
      <c r="AO55" s="337"/>
      <c r="AP55" s="337">
        <v>0</v>
      </c>
      <c r="AQ55" s="337"/>
      <c r="AR55" s="337">
        <v>0</v>
      </c>
      <c r="AS55" s="337"/>
      <c r="AT55" s="337">
        <v>0</v>
      </c>
      <c r="AU55" s="368"/>
      <c r="AV55" s="489">
        <f>SUM(D55:AU55)</f>
        <v>890</v>
      </c>
      <c r="AW55" s="489"/>
      <c r="AX55" s="493">
        <f>AV55/AV59*100</f>
        <v>1.1967834763198235</v>
      </c>
      <c r="AY55" s="488"/>
      <c r="AZ55" s="19"/>
      <c r="BA55" s="19"/>
      <c r="BB55" s="195"/>
    </row>
    <row r="56" spans="2:56" s="3" customFormat="1" ht="30" customHeight="1" x14ac:dyDescent="0.2">
      <c r="B56" s="476"/>
      <c r="C56" s="506" t="s">
        <v>16</v>
      </c>
      <c r="D56" s="337">
        <v>0</v>
      </c>
      <c r="E56" s="621"/>
      <c r="F56" s="337">
        <v>0</v>
      </c>
      <c r="G56" s="337"/>
      <c r="H56" s="337">
        <v>0</v>
      </c>
      <c r="I56" s="337"/>
      <c r="J56" s="337">
        <v>0</v>
      </c>
      <c r="K56" s="333"/>
      <c r="L56" s="337">
        <v>0</v>
      </c>
      <c r="M56" s="337"/>
      <c r="N56" s="337">
        <v>56960</v>
      </c>
      <c r="O56" s="337"/>
      <c r="P56" s="337">
        <v>0</v>
      </c>
      <c r="Q56" s="337"/>
      <c r="R56" s="337">
        <v>0</v>
      </c>
      <c r="S56" s="337"/>
      <c r="T56" s="337">
        <v>0</v>
      </c>
      <c r="U56" s="337"/>
      <c r="V56" s="337">
        <v>0</v>
      </c>
      <c r="W56" s="337"/>
      <c r="X56" s="624">
        <v>0</v>
      </c>
      <c r="Y56" s="624"/>
      <c r="Z56" s="624">
        <v>0</v>
      </c>
      <c r="AA56" s="624"/>
      <c r="AB56" s="624">
        <v>0</v>
      </c>
      <c r="AC56" s="624"/>
      <c r="AD56" s="624">
        <v>0</v>
      </c>
      <c r="AE56" s="624"/>
      <c r="AF56" s="624">
        <v>235680</v>
      </c>
      <c r="AG56" s="625" t="s">
        <v>62</v>
      </c>
      <c r="AH56" s="625">
        <v>737280</v>
      </c>
      <c r="AI56" s="337" t="s">
        <v>62</v>
      </c>
      <c r="AJ56" s="337">
        <v>0</v>
      </c>
      <c r="AK56" s="337"/>
      <c r="AL56" s="337">
        <v>0</v>
      </c>
      <c r="AM56" s="337"/>
      <c r="AN56" s="337">
        <v>0</v>
      </c>
      <c r="AO56" s="337"/>
      <c r="AP56" s="337">
        <v>0</v>
      </c>
      <c r="AQ56" s="333"/>
      <c r="AR56" s="337">
        <v>0</v>
      </c>
      <c r="AS56" s="337"/>
      <c r="AT56" s="337">
        <v>0</v>
      </c>
      <c r="AU56" s="368"/>
      <c r="AV56" s="489">
        <f>SUM(D56:AU56)</f>
        <v>1029920</v>
      </c>
      <c r="AW56" s="497"/>
      <c r="AX56" s="493">
        <f>AV56/AV60*100</f>
        <v>13.235096445085375</v>
      </c>
      <c r="AY56" s="488"/>
      <c r="AZ56" s="19"/>
      <c r="BA56" s="19"/>
      <c r="BB56" s="195"/>
    </row>
    <row r="57" spans="2:56" s="3" customFormat="1" ht="30" customHeight="1" x14ac:dyDescent="0.2">
      <c r="B57" s="485"/>
      <c r="C57" s="619" t="s">
        <v>6</v>
      </c>
      <c r="D57" s="486"/>
      <c r="E57" s="633"/>
      <c r="F57" s="486"/>
      <c r="G57" s="486"/>
      <c r="H57" s="486"/>
      <c r="I57" s="486"/>
      <c r="J57" s="486"/>
      <c r="K57" s="486"/>
      <c r="L57" s="486"/>
      <c r="M57" s="486"/>
      <c r="N57" s="486"/>
      <c r="O57" s="486"/>
      <c r="P57" s="486"/>
      <c r="Q57" s="486"/>
      <c r="R57" s="486"/>
      <c r="S57" s="486"/>
      <c r="T57" s="486"/>
      <c r="U57" s="486"/>
      <c r="V57" s="486"/>
      <c r="W57" s="486"/>
      <c r="X57" s="629"/>
      <c r="Y57" s="629"/>
      <c r="Z57" s="629"/>
      <c r="AA57" s="629"/>
      <c r="AB57" s="629"/>
      <c r="AC57" s="629"/>
      <c r="AD57" s="629"/>
      <c r="AE57" s="629"/>
      <c r="AF57" s="629"/>
      <c r="AG57" s="629"/>
      <c r="AH57" s="629"/>
      <c r="AI57" s="486"/>
      <c r="AJ57" s="486"/>
      <c r="AK57" s="486"/>
      <c r="AL57" s="486"/>
      <c r="AM57" s="486"/>
      <c r="AN57" s="486"/>
      <c r="AO57" s="486"/>
      <c r="AP57" s="486"/>
      <c r="AQ57" s="486"/>
      <c r="AR57" s="486"/>
      <c r="AS57" s="486"/>
      <c r="AT57" s="486"/>
      <c r="AU57" s="486"/>
      <c r="AV57" s="630"/>
      <c r="AW57" s="487"/>
      <c r="AX57" s="487"/>
      <c r="AY57" s="488"/>
      <c r="AZ57" s="7"/>
      <c r="BA57" s="19"/>
      <c r="BB57" s="7"/>
    </row>
    <row r="58" spans="2:56" s="3" customFormat="1" ht="30" customHeight="1" x14ac:dyDescent="0.2">
      <c r="B58" s="485"/>
      <c r="C58" s="631" t="s">
        <v>2</v>
      </c>
      <c r="D58" s="489">
        <f>+D10+D14+D18+D22+D26+D30+D34+D38+D42+D46+D50+D54</f>
        <v>0</v>
      </c>
      <c r="E58" s="634"/>
      <c r="F58" s="489">
        <f>+F10+F14+F18+F22+F26+F30+F34+F38+F42+F46+F50+F54</f>
        <v>0</v>
      </c>
      <c r="G58" s="489"/>
      <c r="H58" s="489">
        <f>+H10+H14+H18+H22+H26+H30+H34+H38+H42+H46+H50+H54</f>
        <v>2</v>
      </c>
      <c r="I58" s="489"/>
      <c r="J58" s="489">
        <f>+J10+J14+J18+J22+J26+J30+J34+J38+J42+J46+J50+J54</f>
        <v>1</v>
      </c>
      <c r="K58" s="489"/>
      <c r="L58" s="489">
        <f>+L10+L14+L18+L22+L26+L30+L34+L38+L42+L46+L50+L54</f>
        <v>7</v>
      </c>
      <c r="M58" s="489"/>
      <c r="N58" s="489">
        <f>+N10+N14+N18+N22+N26+N30+N34+N38+N42+N46+N50+N54</f>
        <v>5</v>
      </c>
      <c r="O58" s="489"/>
      <c r="P58" s="489">
        <f>+P10+P14+P18+P22+P26+P30+P34+P38+P42+P46+P50+P54</f>
        <v>0</v>
      </c>
      <c r="Q58" s="489"/>
      <c r="R58" s="489">
        <f>+R10+R14+R18+R22+R26+R30+R34+R38+R42+R46+R50+R54</f>
        <v>2</v>
      </c>
      <c r="S58" s="489"/>
      <c r="T58" s="489">
        <f>+T10+T14+T18+T22+T26+T30+T34+T38+T42+T46+T50+T54</f>
        <v>0</v>
      </c>
      <c r="U58" s="489"/>
      <c r="V58" s="489">
        <f>+V10+V14+V18+V22+V26+V30+V34+V38+V42+V46+V50+V54</f>
        <v>1</v>
      </c>
      <c r="W58" s="489"/>
      <c r="X58" s="489">
        <f>+X10+X14+X18+X22+X26+X30+X34+X38+X42+X46+X50+X54</f>
        <v>1</v>
      </c>
      <c r="Y58" s="599"/>
      <c r="Z58" s="489">
        <f>+Z10+Z14+Z18+Z22+Z26+Z30+Z34+Z38+Z42+Z46+Z50+Z54</f>
        <v>2</v>
      </c>
      <c r="AA58" s="599"/>
      <c r="AB58" s="489">
        <f>+AB10+AB14+AB18+AB22+AB26+AB30+AB34+AB38+AB42+AB46+AB50+AB54</f>
        <v>0</v>
      </c>
      <c r="AC58" s="599"/>
      <c r="AD58" s="489">
        <f>+AD10+AD14+AD18+AD22+AD26+AD30+AD34+AD38+AD42+AD46+AD50+AD54</f>
        <v>0</v>
      </c>
      <c r="AE58" s="620"/>
      <c r="AF58" s="489">
        <f>+AF10+AF14+AF18+AF22+AF26+AF30+AF34+AF38+AF42+AF46+AF50+AF54</f>
        <v>7</v>
      </c>
      <c r="AG58" s="599"/>
      <c r="AH58" s="489">
        <f>+AH10+AH14+AH18+AH22+AH26+AH30+AH34+AH38+AH42+AH46+AH50+AH54</f>
        <v>13</v>
      </c>
      <c r="AI58" s="489"/>
      <c r="AJ58" s="489">
        <f>SUM(AJ10+AJ14+AJ18+AJ22+AJ26+AJ30+AJ34+AJ38+AJ42+AJ46+AJ50+AJ54)</f>
        <v>4</v>
      </c>
      <c r="AK58" s="489"/>
      <c r="AL58" s="489">
        <f>+AL10+AL14+AL18+AL22+AL26+AL30+AL34+AL38+AL42+AL46+AL50+AL54</f>
        <v>2</v>
      </c>
      <c r="AM58" s="489"/>
      <c r="AN58" s="489">
        <f>+AN10+AN14+AN18+AN22+AN26+AN30+AN34+AN38+AN42+AN46+AN50+AN54</f>
        <v>8</v>
      </c>
      <c r="AO58" s="489"/>
      <c r="AP58" s="489">
        <f>+AP10+AP14+AP18+AP22+AP26+AP30+AP34+AP38+AP42+AP46+AP50+AP54</f>
        <v>2</v>
      </c>
      <c r="AQ58" s="489"/>
      <c r="AR58" s="489">
        <f>+AR10+AR14+AR18+AR22+AR26+AR30+AR34+AR38+AR42+AR46+AR50+AR54</f>
        <v>1</v>
      </c>
      <c r="AS58" s="489"/>
      <c r="AT58" s="489">
        <f>+AT10+AT14+AT18+AT22+AT26+AT30+AT34+AT38+AT42+AT46+AT50+AT54</f>
        <v>0</v>
      </c>
      <c r="AU58" s="489"/>
      <c r="AV58" s="489">
        <f>+AV10+AV14+AV18+AV22+AV26+AV30+AV34+AV38+AV42+AV46+AV50+AV54</f>
        <v>58</v>
      </c>
      <c r="AW58" s="489"/>
      <c r="AX58" s="489">
        <f>SUM(AX10+AX14+AX18+AX22+AX26+AX30+AX34+AX38+AX42+AX46+AX50+AX54)</f>
        <v>100</v>
      </c>
      <c r="AY58" s="488"/>
      <c r="AZ58" s="19"/>
      <c r="BA58" s="19"/>
      <c r="BB58" s="196"/>
    </row>
    <row r="59" spans="2:56" s="3" customFormat="1" ht="30" customHeight="1" x14ac:dyDescent="0.2">
      <c r="B59" s="485"/>
      <c r="C59" s="631" t="s">
        <v>15</v>
      </c>
      <c r="D59" s="489">
        <f>+D11+D15+D19+D23+D27+D31+D35+D39+D43+D47+D51+D55</f>
        <v>0</v>
      </c>
      <c r="E59" s="634"/>
      <c r="F59" s="489">
        <f>+F11+F15+F19+F23+F27+F31+F35+F39+F43+F47+F51+F55</f>
        <v>0</v>
      </c>
      <c r="G59" s="489"/>
      <c r="H59" s="489">
        <f>+H11+H15+H19+H23+H27+H31+H35+H39+H43+H47+H51+H55</f>
        <v>638</v>
      </c>
      <c r="I59" s="489"/>
      <c r="J59" s="489">
        <f>+J11+J15+J19+J23+J27+J31+J35+J39+J43+J47+J51+J55</f>
        <v>400</v>
      </c>
      <c r="K59" s="489"/>
      <c r="L59" s="489">
        <f>+L11+L15+L19+L23+L27+L31+L35+L39+L43+L47+L51+L55</f>
        <v>702</v>
      </c>
      <c r="M59" s="489"/>
      <c r="N59" s="489">
        <f>+N11+N15+N19+N23+N27+N31+N35+N39+N43+N47+N51+N55</f>
        <v>1458</v>
      </c>
      <c r="O59" s="489"/>
      <c r="P59" s="489">
        <f>+P11+P15+P19+P23+P27+P31+P35+P39+P43+P47+P51+P55</f>
        <v>0</v>
      </c>
      <c r="Q59" s="489"/>
      <c r="R59" s="489">
        <f>+R11+R15+R19+R23+R27+R31+R35+R39+R43+R47+R51+R55</f>
        <v>565</v>
      </c>
      <c r="S59" s="489"/>
      <c r="T59" s="489">
        <f>+T11+T15+T19+T23+T27+T31+T35+T39+T43+T47+T51+T55</f>
        <v>0</v>
      </c>
      <c r="U59" s="489"/>
      <c r="V59" s="489">
        <f>+V11+V15+V19+V23+V27+V31+V35+V39+V43+V47+V51+V55</f>
        <v>40</v>
      </c>
      <c r="W59" s="489"/>
      <c r="X59" s="489">
        <f>+X11+X15+X19+X23+X27+X31+X35+X39+X43+X47+X51+X55</f>
        <v>30</v>
      </c>
      <c r="Y59" s="599"/>
      <c r="Z59" s="489">
        <f>+Z11+Z15+Z19+Z23+Z27+Z31+Z35+Z39+Z43+Z47+Z51+Z55</f>
        <v>83</v>
      </c>
      <c r="AA59" s="599"/>
      <c r="AB59" s="489">
        <f>+AB11+AB15+AB19+AB23+AB27+AB31+AB35+AB39+AB43+AB47+AB51+AB55</f>
        <v>0</v>
      </c>
      <c r="AC59" s="599"/>
      <c r="AD59" s="489">
        <f>+AD11+AD15+AD19+AD23+AD27+AD31+AD35+AD39+AD43+AD47+AD51+AD55</f>
        <v>0</v>
      </c>
      <c r="AE59" s="620"/>
      <c r="AF59" s="489">
        <f>+AF11+AF15+AF19+AF23+AF27+AF31+AF35+AF39+AF43+AF47+AF51+AF55</f>
        <v>10485</v>
      </c>
      <c r="AG59" s="599"/>
      <c r="AH59" s="489">
        <f>+AH11+AH15+AH19+AH23+AH27+AH31+AH35+AH39+AH43+AH47+AH51+AH55</f>
        <v>37661</v>
      </c>
      <c r="AI59" s="489"/>
      <c r="AJ59" s="489">
        <f t="shared" ref="AJ59:AJ60" si="0">SUM(AJ11+AJ15+AJ19+AJ23+AJ27+AJ31+AJ35+AJ39+AJ43+AJ47+AJ51+AJ55)</f>
        <v>349</v>
      </c>
      <c r="AK59" s="489"/>
      <c r="AL59" s="489">
        <f>+AL11+AL15+AL19+AL23+AL27+AL31+AL35+AL39+AL43+AL47+AL51+AL55</f>
        <v>218</v>
      </c>
      <c r="AM59" s="489"/>
      <c r="AN59" s="489">
        <f>+AN11+AN15+AN19+AN23+AN27+AN31+AN35+AN39+AN43+AN47+AN51+AN55</f>
        <v>20134</v>
      </c>
      <c r="AO59" s="489"/>
      <c r="AP59" s="489">
        <f>+AP11+AP15+AP19+AP23+AP27+AP31+AP35+AP39+AP43+AP47+AP51+AP55</f>
        <v>703</v>
      </c>
      <c r="AQ59" s="489"/>
      <c r="AR59" s="489">
        <f>+AR11+AR15+AR19+AR23+AR27+AR31+AR35+AR39+AR43+AR47+AR51+AR55</f>
        <v>900</v>
      </c>
      <c r="AS59" s="489"/>
      <c r="AT59" s="489">
        <f>+AT11+AT15+AT19+AT23+AT27+AT31+AT35+AT39+AT43+AT47+AT51+AT55</f>
        <v>0</v>
      </c>
      <c r="AU59" s="489"/>
      <c r="AV59" s="489">
        <f>+AV11+AV15+AV19+AV23+AV27+AV31+AV35+AV39+AV43+AV47+AV51+AV55</f>
        <v>74366</v>
      </c>
      <c r="AW59" s="489"/>
      <c r="AX59" s="489">
        <f t="shared" ref="AX59:AX60" si="1">SUM(AX11+AX15+AX19+AX23+AX27+AX31+AX35+AX39+AX43+AX47+AX51+AX55)</f>
        <v>100</v>
      </c>
      <c r="AY59" s="488"/>
      <c r="AZ59" s="19"/>
      <c r="BA59" s="19"/>
      <c r="BB59" s="196"/>
    </row>
    <row r="60" spans="2:56" s="3" customFormat="1" ht="30" customHeight="1" x14ac:dyDescent="0.2">
      <c r="B60" s="485"/>
      <c r="C60" s="631" t="s">
        <v>16</v>
      </c>
      <c r="D60" s="489">
        <f>+D12+D16+D20+D24+D28+D32+D36+D40+D44+D48+D52+D56</f>
        <v>0</v>
      </c>
      <c r="E60" s="623"/>
      <c r="F60" s="489">
        <f>+F12+F16+F20+F24+F28+F32+F36+F40+F44+F48+F52+F56</f>
        <v>0</v>
      </c>
      <c r="G60" s="489"/>
      <c r="H60" s="489">
        <f>+H12+H16+H20+H24+H28+H32+H36+H40+H44+H48+H52+H56</f>
        <v>178968</v>
      </c>
      <c r="I60" s="489"/>
      <c r="J60" s="489">
        <f>+J12+J16+J20+J24+J28+J32+J36+J40+J44+J48+J52+J56</f>
        <v>12800</v>
      </c>
      <c r="K60" s="489"/>
      <c r="L60" s="489">
        <f>+L12+L16+L20+L24+L28+L32+L36+L40+L44+L48+L52+L56</f>
        <v>63656</v>
      </c>
      <c r="M60" s="489"/>
      <c r="N60" s="489">
        <f>+N12+N16+N20+N24+N28+N32+N36+N40+N44+N48+N52+N56</f>
        <v>72792</v>
      </c>
      <c r="O60" s="489"/>
      <c r="P60" s="489">
        <f>+P12+P16+P20+P24+P28+P32+P36+P40+P44+P48+P52+P56</f>
        <v>0</v>
      </c>
      <c r="Q60" s="489"/>
      <c r="R60" s="489">
        <f>+R12+R16+R20+R24+R28+R32+R36+R40+R44+R48+R52+R56</f>
        <v>4760</v>
      </c>
      <c r="S60" s="489"/>
      <c r="T60" s="489">
        <f>+T12+T16+T20+T24+T28+T32+T36+T40+T44+T48+T52+T56</f>
        <v>0</v>
      </c>
      <c r="U60" s="489"/>
      <c r="V60" s="489">
        <f>+V12+V16+V20+V24+V28+V32+V36+V40+V44+V48+V52+V56</f>
        <v>2880</v>
      </c>
      <c r="W60" s="489"/>
      <c r="X60" s="489">
        <f>+X12+X16+X20+X24+X28+X32+X36+X40+X44+X48+X52+X56</f>
        <v>720</v>
      </c>
      <c r="Y60" s="599"/>
      <c r="Z60" s="489">
        <f>+Z12+Z16+Z20+Z24+Z28+Z32+Z36+Z40+Z44+Z48+Z52+Z56</f>
        <v>1664</v>
      </c>
      <c r="AA60" s="599"/>
      <c r="AB60" s="489">
        <f>+AB12+AB16+AB20+AB24+AB28+AB32+AB36+AB40+AB44+AB48+AB52+AB56</f>
        <v>0</v>
      </c>
      <c r="AC60" s="599"/>
      <c r="AD60" s="489">
        <f>+AD12+AD16+AD20+AD24+AD28+AD32+AD36+AD40+AD44+AD48+AD52+AD56</f>
        <v>0</v>
      </c>
      <c r="AE60" s="620"/>
      <c r="AF60" s="489">
        <f>+AF12+AF16+AF20+AF24+AF28+AF32+AF36+AF40+AF44+AF48+AF52+AF56</f>
        <v>637520</v>
      </c>
      <c r="AG60" s="599"/>
      <c r="AH60" s="489">
        <f>+AH12+AH16+AH20+AH24+AH28+AH32+AH36+AH40+AH44+AH48+AH52+AH56</f>
        <v>5462048</v>
      </c>
      <c r="AI60" s="489"/>
      <c r="AJ60" s="489">
        <f t="shared" si="0"/>
        <v>9768</v>
      </c>
      <c r="AK60" s="489"/>
      <c r="AL60" s="489">
        <f>+AL12+AL16+AL20+AL24+AL28+AL32+AL36+AL40+AL44+AL48+AL52+AL56</f>
        <v>2032</v>
      </c>
      <c r="AM60" s="489"/>
      <c r="AN60" s="489">
        <f>+AN12+AN16+AN20+AN24+AN28+AN32+AN36+AN40+AN44+AN48+AN52+AN56</f>
        <v>1267110</v>
      </c>
      <c r="AO60" s="489"/>
      <c r="AP60" s="489">
        <f>+AP12+AP16+AP20+AP24+AP28+AP32+AP36+AP40+AP44+AP48+AP52+AP56</f>
        <v>50616</v>
      </c>
      <c r="AQ60" s="489"/>
      <c r="AR60" s="489">
        <f>+AR12+AR16+AR20+AR24+AR28+AR32+AR36+AR40+AR44+AR48+AR52+AR56</f>
        <v>14400</v>
      </c>
      <c r="AS60" s="489"/>
      <c r="AT60" s="489">
        <f>+AT12+AT16+AT20+AT24+AT28+AT32+AT36+AT40+AT44+AT48+AT52+AT56</f>
        <v>0</v>
      </c>
      <c r="AU60" s="489"/>
      <c r="AV60" s="489">
        <f>+AV12+AV16+AV20+AV24+AV28+AV32+AV36+AV40+AV44+AV48+AV52+AV56</f>
        <v>7781734</v>
      </c>
      <c r="AW60" s="489"/>
      <c r="AX60" s="489">
        <f t="shared" si="1"/>
        <v>100</v>
      </c>
      <c r="AY60" s="488"/>
      <c r="AZ60" s="19"/>
      <c r="BA60" s="19"/>
      <c r="BB60" s="196"/>
    </row>
    <row r="61" spans="2:56" s="1" customFormat="1" ht="29.25" customHeight="1" x14ac:dyDescent="0.2">
      <c r="B61" s="5" t="s">
        <v>281</v>
      </c>
      <c r="D61" s="636"/>
      <c r="E61" s="636"/>
      <c r="F61" s="636"/>
      <c r="G61" s="636"/>
      <c r="H61" s="534"/>
      <c r="I61" s="534"/>
      <c r="J61" s="534"/>
      <c r="K61" s="534"/>
      <c r="L61" s="534"/>
      <c r="M61" s="534"/>
      <c r="N61" s="534"/>
      <c r="O61" s="534"/>
      <c r="P61" s="534"/>
      <c r="Q61" s="534"/>
      <c r="R61" s="534"/>
      <c r="S61" s="534"/>
      <c r="T61" s="534"/>
      <c r="U61" s="534"/>
      <c r="V61" s="637"/>
      <c r="W61" s="535"/>
      <c r="X61" s="637"/>
      <c r="Y61" s="543"/>
      <c r="Z61" s="638"/>
      <c r="AA61" s="543"/>
      <c r="AB61" s="534"/>
      <c r="AC61" s="534"/>
      <c r="AD61" s="534"/>
      <c r="AE61" s="534"/>
      <c r="AF61" s="534"/>
      <c r="AG61" s="534"/>
      <c r="AH61" s="534"/>
      <c r="AI61" s="534"/>
      <c r="AJ61" s="534"/>
      <c r="AK61" s="534"/>
      <c r="AL61" s="534"/>
      <c r="AM61" s="534"/>
      <c r="AN61" s="534"/>
      <c r="AO61" s="534"/>
      <c r="AP61" s="534"/>
      <c r="AQ61" s="534"/>
      <c r="AR61" s="534"/>
      <c r="AS61" s="534"/>
      <c r="AT61" s="534"/>
      <c r="AU61" s="534"/>
      <c r="AV61" s="534"/>
      <c r="AW61" s="534"/>
      <c r="AX61" s="534"/>
      <c r="AY61" s="534"/>
      <c r="AZ61" s="534"/>
      <c r="BA61" s="534"/>
      <c r="BB61" s="534"/>
      <c r="BC61" s="534"/>
      <c r="BD61" s="534"/>
    </row>
    <row r="62" spans="2:56" s="1" customFormat="1" ht="24.6" customHeight="1" x14ac:dyDescent="0.25">
      <c r="B62" s="10" t="s">
        <v>282</v>
      </c>
      <c r="D62" s="639"/>
      <c r="E62" s="639"/>
      <c r="F62" s="639"/>
      <c r="G62" s="639"/>
      <c r="H62" s="640"/>
      <c r="I62" s="596"/>
      <c r="J62" s="596"/>
      <c r="K62" s="596"/>
      <c r="L62" s="596"/>
      <c r="M62" s="596"/>
      <c r="N62" s="596"/>
      <c r="O62" s="596"/>
      <c r="P62" s="596"/>
      <c r="Q62" s="596"/>
      <c r="R62" s="596"/>
      <c r="S62" s="596"/>
      <c r="T62" s="596"/>
      <c r="U62" s="596"/>
      <c r="V62" s="596"/>
      <c r="W62" s="641"/>
      <c r="X62" s="642"/>
      <c r="Y62" s="641"/>
      <c r="Z62" s="642"/>
      <c r="AA62" s="643"/>
      <c r="AB62" s="596"/>
      <c r="AC62" s="596"/>
      <c r="AD62" s="596"/>
      <c r="AE62" s="596"/>
      <c r="AF62" s="596"/>
      <c r="AG62" s="596"/>
      <c r="AH62" s="596"/>
      <c r="AI62" s="596"/>
      <c r="AJ62" s="596"/>
      <c r="AK62" s="596"/>
      <c r="AL62" s="596"/>
      <c r="AM62" s="596"/>
      <c r="AN62" s="596"/>
      <c r="AO62" s="596"/>
      <c r="AP62" s="596"/>
      <c r="AQ62" s="596"/>
      <c r="AR62" s="596"/>
      <c r="AS62" s="596"/>
      <c r="AT62" s="596"/>
      <c r="AU62" s="596"/>
      <c r="AV62" s="596"/>
      <c r="AW62" s="596"/>
      <c r="AX62" s="534"/>
      <c r="AY62" s="534"/>
      <c r="AZ62" s="534"/>
      <c r="BA62" s="534"/>
      <c r="BB62" s="534"/>
      <c r="BC62" s="534"/>
      <c r="BD62" s="534"/>
    </row>
    <row r="63" spans="2:56" s="1" customFormat="1" ht="24.6" customHeight="1" x14ac:dyDescent="0.2">
      <c r="B63" s="16" t="s">
        <v>283</v>
      </c>
      <c r="E63" s="17"/>
      <c r="F63" s="18"/>
      <c r="G63" s="17"/>
      <c r="H63" s="73"/>
      <c r="I63" s="73"/>
      <c r="J63" s="574"/>
      <c r="K63" s="73"/>
      <c r="L63" s="73"/>
      <c r="M63" s="73"/>
      <c r="N63" s="73"/>
      <c r="O63" s="73"/>
      <c r="P63" s="73"/>
      <c r="Q63" s="73"/>
      <c r="R63" s="73"/>
      <c r="S63" s="73"/>
      <c r="T63" s="73"/>
      <c r="U63" s="73"/>
      <c r="V63" s="73"/>
      <c r="W63" s="73"/>
      <c r="X63" s="73"/>
      <c r="Y63" s="73"/>
      <c r="Z63" s="73"/>
      <c r="AA63" s="73"/>
      <c r="AB63" s="73"/>
      <c r="AC63" s="73"/>
      <c r="AD63" s="73"/>
      <c r="AE63" s="73"/>
      <c r="AF63" s="574"/>
      <c r="AG63" s="73"/>
      <c r="AH63" s="73"/>
      <c r="AI63" s="73"/>
      <c r="AJ63" s="73"/>
      <c r="AK63" s="73"/>
      <c r="AL63" s="73"/>
      <c r="AM63" s="73"/>
      <c r="AN63" s="73"/>
      <c r="AO63" s="73"/>
      <c r="AP63" s="73"/>
      <c r="AQ63" s="73"/>
      <c r="AR63" s="73"/>
      <c r="AS63" s="73"/>
      <c r="AT63" s="73"/>
      <c r="AU63" s="73"/>
      <c r="AV63" s="73"/>
      <c r="AW63" s="73"/>
    </row>
    <row r="64" spans="2:56" s="20" customFormat="1" ht="25.15" customHeight="1" x14ac:dyDescent="0.2">
      <c r="B64" s="644" t="s">
        <v>284</v>
      </c>
      <c r="H64" s="74"/>
      <c r="I64" s="74"/>
      <c r="J64" s="574"/>
      <c r="K64" s="74"/>
      <c r="L64" s="74"/>
      <c r="M64" s="74"/>
      <c r="N64" s="74"/>
      <c r="O64" s="74"/>
      <c r="P64" s="74"/>
      <c r="Q64" s="74"/>
      <c r="R64" s="74"/>
      <c r="S64" s="74"/>
      <c r="T64" s="74"/>
      <c r="U64" s="74"/>
      <c r="V64" s="74"/>
      <c r="W64" s="74"/>
      <c r="X64" s="74"/>
      <c r="Y64" s="74"/>
      <c r="Z64" s="74"/>
      <c r="AA64" s="74"/>
      <c r="AB64" s="74"/>
      <c r="AC64" s="74"/>
      <c r="AD64" s="74"/>
      <c r="AE64" s="74"/>
      <c r="AF64" s="574"/>
      <c r="AG64" s="74"/>
      <c r="AH64" s="74"/>
      <c r="AI64" s="74"/>
      <c r="AJ64" s="74"/>
      <c r="AK64" s="74"/>
      <c r="AL64" s="74"/>
      <c r="AM64" s="74"/>
      <c r="AN64" s="74"/>
      <c r="AO64" s="74"/>
      <c r="AP64" s="74"/>
      <c r="AQ64" s="74"/>
      <c r="AR64" s="74"/>
      <c r="AS64" s="74"/>
      <c r="AT64" s="74"/>
      <c r="AU64" s="74"/>
      <c r="AV64" s="73"/>
      <c r="AW64" s="74"/>
    </row>
    <row r="65" spans="2:53" s="1" customFormat="1" ht="57" customHeight="1" x14ac:dyDescent="0.2">
      <c r="B65" s="815"/>
      <c r="C65" s="815"/>
      <c r="D65" s="815"/>
      <c r="E65" s="815"/>
      <c r="F65" s="815"/>
      <c r="G65" s="815"/>
      <c r="H65" s="815"/>
      <c r="I65" s="815"/>
      <c r="J65" s="815"/>
      <c r="K65" s="815"/>
      <c r="L65" s="815"/>
      <c r="M65" s="815"/>
      <c r="N65" s="815"/>
      <c r="O65" s="815"/>
      <c r="P65" s="815"/>
      <c r="Q65" s="815"/>
      <c r="R65" s="815"/>
      <c r="S65" s="815"/>
      <c r="BA65" s="53"/>
    </row>
    <row r="67" spans="2:53" ht="7.5" customHeight="1" x14ac:dyDescent="0.35"/>
  </sheetData>
  <mergeCells count="43">
    <mergeCell ref="AJ7:AM7"/>
    <mergeCell ref="AJ8:AK8"/>
    <mergeCell ref="AL8:AM8"/>
    <mergeCell ref="P8:Q8"/>
    <mergeCell ref="H8:I8"/>
    <mergeCell ref="AD8:AE8"/>
    <mergeCell ref="T7:W7"/>
    <mergeCell ref="L8:M8"/>
    <mergeCell ref="N8:O8"/>
    <mergeCell ref="V8:W8"/>
    <mergeCell ref="AB8:AC8"/>
    <mergeCell ref="B2:AY2"/>
    <mergeCell ref="B4:AY4"/>
    <mergeCell ref="B5:AY5"/>
    <mergeCell ref="D6:AU6"/>
    <mergeCell ref="R8:S8"/>
    <mergeCell ref="AP8:AQ8"/>
    <mergeCell ref="AT8:AU8"/>
    <mergeCell ref="AN8:AO8"/>
    <mergeCell ref="J8:K8"/>
    <mergeCell ref="D8:E8"/>
    <mergeCell ref="F8:G8"/>
    <mergeCell ref="B3:AU3"/>
    <mergeCell ref="AR7:AU7"/>
    <mergeCell ref="D7:G7"/>
    <mergeCell ref="H7:K7"/>
    <mergeCell ref="AN7:AQ7"/>
    <mergeCell ref="B65:S65"/>
    <mergeCell ref="AV6:AY7"/>
    <mergeCell ref="T8:U8"/>
    <mergeCell ref="AX8:AY8"/>
    <mergeCell ref="AV8:AW8"/>
    <mergeCell ref="L7:O7"/>
    <mergeCell ref="P7:S7"/>
    <mergeCell ref="AR8:AS8"/>
    <mergeCell ref="X7:AA7"/>
    <mergeCell ref="X8:Y8"/>
    <mergeCell ref="Z8:AA8"/>
    <mergeCell ref="AF7:AI7"/>
    <mergeCell ref="AF8:AG8"/>
    <mergeCell ref="AH8:AI8"/>
    <mergeCell ref="AB7:AE7"/>
    <mergeCell ref="B6:C8"/>
  </mergeCells>
  <printOptions horizontalCentered="1" verticalCentered="1"/>
  <pageMargins left="0" right="0" top="0" bottom="0" header="0" footer="0"/>
  <pageSetup paperSize="9" scale="17"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0000"/>
  </sheetPr>
  <dimension ref="B2:AX62"/>
  <sheetViews>
    <sheetView showGridLines="0" topLeftCell="A8" zoomScale="40" zoomScaleNormal="40" zoomScaleSheetLayoutView="55" workbookViewId="0">
      <selection activeCell="B4" sqref="B4:AX4"/>
    </sheetView>
  </sheetViews>
  <sheetFormatPr baseColWidth="10" defaultColWidth="11.42578125" defaultRowHeight="12.75" x14ac:dyDescent="0.2"/>
  <cols>
    <col min="1" max="1" width="3.7109375" style="38" customWidth="1"/>
    <col min="2" max="2" width="19.42578125" style="38" customWidth="1"/>
    <col min="3" max="3" width="6.7109375" style="38" customWidth="1"/>
    <col min="4" max="4" width="2.7109375" style="38" customWidth="1"/>
    <col min="5" max="5" width="12.28515625" style="38" customWidth="1"/>
    <col min="6" max="6" width="2.7109375" style="38" customWidth="1"/>
    <col min="7" max="7" width="14" style="38" customWidth="1"/>
    <col min="8" max="8" width="2.7109375" style="38" customWidth="1"/>
    <col min="9" max="9" width="6.7109375" style="38" customWidth="1"/>
    <col min="10" max="10" width="2.7109375" style="38" customWidth="1"/>
    <col min="11" max="11" width="12.7109375" style="38" customWidth="1"/>
    <col min="12" max="12" width="2.7109375" style="38" customWidth="1"/>
    <col min="13" max="13" width="15.28515625" style="38" customWidth="1"/>
    <col min="14" max="14" width="2.7109375" style="38" customWidth="1"/>
    <col min="15" max="15" width="7.28515625" style="38" customWidth="1"/>
    <col min="16" max="16" width="2.7109375" style="38" customWidth="1"/>
    <col min="17" max="17" width="14.28515625" style="38" customWidth="1"/>
    <col min="18" max="18" width="2.7109375" style="38" customWidth="1"/>
    <col min="19" max="19" width="16.85546875" style="38" customWidth="1"/>
    <col min="20" max="20" width="2.7109375" style="38" customWidth="1"/>
    <col min="21" max="21" width="10.7109375" style="38" customWidth="1"/>
    <col min="22" max="22" width="2.7109375" style="38" customWidth="1"/>
    <col min="23" max="23" width="14.85546875" style="38" customWidth="1"/>
    <col min="24" max="24" width="2.7109375" style="38" customWidth="1"/>
    <col min="25" max="25" width="17.85546875" style="38" customWidth="1"/>
    <col min="26" max="26" width="2.7109375" style="38" customWidth="1"/>
    <col min="27" max="27" width="12.5703125" style="38" customWidth="1"/>
    <col min="28" max="28" width="2.7109375" style="38" customWidth="1"/>
    <col min="29" max="29" width="13.7109375" style="38" bestFit="1" customWidth="1"/>
    <col min="30" max="30" width="2.7109375" style="38" customWidth="1"/>
    <col min="31" max="31" width="16.5703125" style="38" customWidth="1"/>
    <col min="32" max="32" width="2.7109375" style="38" customWidth="1"/>
    <col min="33" max="33" width="12" style="38" customWidth="1"/>
    <col min="34" max="34" width="2.7109375" style="38" customWidth="1"/>
    <col min="35" max="35" width="13.42578125" style="38" customWidth="1"/>
    <col min="36" max="36" width="3.7109375" style="38" customWidth="1"/>
    <col min="37" max="37" width="18.140625" style="38" customWidth="1"/>
    <col min="38" max="38" width="3.7109375" style="38" customWidth="1"/>
    <col min="39" max="39" width="13.7109375" style="38" customWidth="1"/>
    <col min="40" max="40" width="3.7109375" style="38" customWidth="1"/>
    <col min="41" max="41" width="13.7109375" style="38" customWidth="1"/>
    <col min="42" max="42" width="3.7109375" style="38" customWidth="1"/>
    <col min="43" max="43" width="16.140625" style="38" customWidth="1"/>
    <col min="44" max="44" width="3.7109375" style="38" customWidth="1"/>
    <col min="45" max="45" width="13.7109375" style="38" bestFit="1" customWidth="1"/>
    <col min="46" max="46" width="3.7109375" style="38" customWidth="1"/>
    <col min="47" max="47" width="14" style="38" customWidth="1"/>
    <col min="48" max="48" width="3.7109375" style="38" customWidth="1"/>
    <col min="49" max="49" width="16.28515625" style="38" customWidth="1"/>
    <col min="50" max="50" width="5.7109375" style="38" customWidth="1"/>
    <col min="51" max="51" width="3.7109375" style="38" customWidth="1"/>
    <col min="52" max="16384" width="11.42578125" style="38"/>
  </cols>
  <sheetData>
    <row r="2" spans="2:50" ht="30" customHeight="1" x14ac:dyDescent="0.3">
      <c r="B2" s="893" t="s">
        <v>171</v>
      </c>
      <c r="C2" s="893"/>
      <c r="D2" s="893"/>
      <c r="E2" s="893"/>
      <c r="F2" s="893"/>
      <c r="G2" s="893"/>
      <c r="H2" s="893"/>
      <c r="I2" s="893"/>
      <c r="J2" s="893"/>
      <c r="K2" s="893"/>
      <c r="L2" s="893"/>
      <c r="M2" s="893"/>
      <c r="N2" s="893"/>
      <c r="O2" s="893"/>
      <c r="P2" s="893"/>
      <c r="Q2" s="893"/>
      <c r="R2" s="893"/>
      <c r="S2" s="893"/>
      <c r="T2" s="893"/>
      <c r="U2" s="893"/>
      <c r="V2" s="893"/>
      <c r="W2" s="893"/>
      <c r="X2" s="893"/>
      <c r="Y2" s="893"/>
      <c r="Z2" s="893"/>
      <c r="AA2" s="893"/>
      <c r="AB2" s="893"/>
      <c r="AC2" s="893"/>
      <c r="AD2" s="893"/>
      <c r="AE2" s="893"/>
      <c r="AF2" s="893"/>
      <c r="AG2" s="893"/>
      <c r="AH2" s="893"/>
      <c r="AI2" s="893"/>
      <c r="AJ2" s="893"/>
      <c r="AK2" s="893"/>
      <c r="AL2" s="893"/>
      <c r="AM2" s="893"/>
      <c r="AN2" s="893"/>
      <c r="AO2" s="893"/>
      <c r="AP2" s="893"/>
      <c r="AQ2" s="893"/>
      <c r="AR2" s="893"/>
      <c r="AS2" s="893"/>
      <c r="AT2" s="893"/>
      <c r="AU2" s="893"/>
      <c r="AV2" s="893"/>
      <c r="AW2" s="893"/>
      <c r="AX2" s="893"/>
    </row>
    <row r="3" spans="2:50" ht="39.75" customHeight="1" x14ac:dyDescent="0.3">
      <c r="B3" s="197" t="s">
        <v>122</v>
      </c>
      <c r="C3" s="198"/>
      <c r="D3" s="198"/>
      <c r="E3" s="198"/>
      <c r="F3" s="198"/>
      <c r="G3" s="198"/>
      <c r="H3" s="198"/>
      <c r="I3" s="198"/>
      <c r="J3" s="198"/>
      <c r="K3" s="198"/>
      <c r="L3" s="198"/>
      <c r="M3" s="198"/>
      <c r="N3" s="198"/>
      <c r="O3" s="198"/>
      <c r="P3" s="198"/>
      <c r="Q3" s="198"/>
      <c r="R3" s="198"/>
      <c r="S3" s="199"/>
      <c r="T3" s="199"/>
      <c r="U3" s="199"/>
      <c r="V3" s="199"/>
      <c r="W3" s="199"/>
      <c r="X3" s="199"/>
      <c r="Y3" s="199"/>
      <c r="Z3" s="199"/>
      <c r="AA3" s="199"/>
      <c r="AB3" s="199"/>
      <c r="AC3" s="199"/>
      <c r="AD3" s="199"/>
      <c r="AE3" s="199"/>
      <c r="AF3" s="199"/>
      <c r="AG3" s="199"/>
      <c r="AH3" s="199"/>
      <c r="AI3" s="199"/>
      <c r="AJ3" s="199"/>
      <c r="AK3" s="199"/>
      <c r="AL3" s="199"/>
      <c r="AM3" s="199"/>
      <c r="AN3" s="199"/>
      <c r="AO3" s="199"/>
      <c r="AP3" s="199"/>
      <c r="AQ3" s="199"/>
      <c r="AR3" s="199"/>
      <c r="AS3" s="199"/>
      <c r="AT3" s="199"/>
      <c r="AU3" s="199"/>
      <c r="AV3" s="199"/>
      <c r="AW3" s="199"/>
      <c r="AX3" s="199"/>
    </row>
    <row r="4" spans="2:50" ht="39.75" customHeight="1" x14ac:dyDescent="0.2">
      <c r="B4" s="894" t="s">
        <v>286</v>
      </c>
      <c r="C4" s="894"/>
      <c r="D4" s="894"/>
      <c r="E4" s="894"/>
      <c r="F4" s="894"/>
      <c r="G4" s="894"/>
      <c r="H4" s="894"/>
      <c r="I4" s="894"/>
      <c r="J4" s="894"/>
      <c r="K4" s="894"/>
      <c r="L4" s="894"/>
      <c r="M4" s="894"/>
      <c r="N4" s="894"/>
      <c r="O4" s="894"/>
      <c r="P4" s="894"/>
      <c r="Q4" s="894"/>
      <c r="R4" s="894"/>
      <c r="S4" s="894"/>
      <c r="T4" s="894"/>
      <c r="U4" s="894"/>
      <c r="V4" s="894"/>
      <c r="W4" s="894"/>
      <c r="X4" s="894"/>
      <c r="Y4" s="894"/>
      <c r="Z4" s="894"/>
      <c r="AA4" s="894"/>
      <c r="AB4" s="894"/>
      <c r="AC4" s="894"/>
      <c r="AD4" s="894"/>
      <c r="AE4" s="894"/>
      <c r="AF4" s="894"/>
      <c r="AG4" s="894"/>
      <c r="AH4" s="894"/>
      <c r="AI4" s="894"/>
      <c r="AJ4" s="894"/>
      <c r="AK4" s="894"/>
      <c r="AL4" s="894"/>
      <c r="AM4" s="894"/>
      <c r="AN4" s="894"/>
      <c r="AO4" s="894"/>
      <c r="AP4" s="894"/>
      <c r="AQ4" s="894"/>
      <c r="AR4" s="894"/>
      <c r="AS4" s="894"/>
      <c r="AT4" s="894"/>
      <c r="AU4" s="894"/>
      <c r="AV4" s="894"/>
      <c r="AW4" s="894"/>
      <c r="AX4" s="894"/>
    </row>
    <row r="5" spans="2:50" ht="39.75" customHeight="1" thickBot="1" x14ac:dyDescent="0.25">
      <c r="B5" s="894" t="s">
        <v>343</v>
      </c>
      <c r="C5" s="894"/>
      <c r="D5" s="894"/>
      <c r="E5" s="894"/>
      <c r="F5" s="894"/>
      <c r="G5" s="894"/>
      <c r="H5" s="894"/>
      <c r="I5" s="894"/>
      <c r="J5" s="894"/>
      <c r="K5" s="894"/>
      <c r="L5" s="894"/>
      <c r="M5" s="894"/>
      <c r="N5" s="894"/>
      <c r="O5" s="894"/>
      <c r="P5" s="894"/>
      <c r="Q5" s="894"/>
      <c r="R5" s="894"/>
      <c r="S5" s="894"/>
      <c r="T5" s="894"/>
      <c r="U5" s="894"/>
      <c r="V5" s="894"/>
      <c r="W5" s="894"/>
      <c r="X5" s="894"/>
      <c r="Y5" s="894"/>
      <c r="Z5" s="894"/>
      <c r="AA5" s="894"/>
      <c r="AB5" s="894"/>
      <c r="AC5" s="894"/>
      <c r="AD5" s="894"/>
      <c r="AE5" s="894"/>
      <c r="AF5" s="894"/>
      <c r="AG5" s="894"/>
      <c r="AH5" s="894"/>
      <c r="AI5" s="894"/>
      <c r="AJ5" s="894"/>
      <c r="AK5" s="894"/>
      <c r="AL5" s="894"/>
      <c r="AM5" s="894"/>
      <c r="AN5" s="894"/>
      <c r="AO5" s="894"/>
      <c r="AP5" s="894"/>
      <c r="AQ5" s="894"/>
      <c r="AR5" s="894"/>
      <c r="AS5" s="894"/>
      <c r="AT5" s="894"/>
      <c r="AU5" s="894"/>
      <c r="AV5" s="894"/>
      <c r="AW5" s="894"/>
      <c r="AX5" s="894"/>
    </row>
    <row r="6" spans="2:50" s="200" customFormat="1" ht="54" customHeight="1" thickBot="1" x14ac:dyDescent="0.25">
      <c r="B6" s="882" t="s">
        <v>24</v>
      </c>
      <c r="C6" s="888" t="s">
        <v>1</v>
      </c>
      <c r="D6" s="889"/>
      <c r="E6" s="889"/>
      <c r="F6" s="889"/>
      <c r="G6" s="889"/>
      <c r="H6" s="889"/>
      <c r="I6" s="889"/>
      <c r="J6" s="889"/>
      <c r="K6" s="889"/>
      <c r="L6" s="889"/>
      <c r="M6" s="889"/>
      <c r="N6" s="889"/>
      <c r="O6" s="889"/>
      <c r="P6" s="889"/>
      <c r="Q6" s="889"/>
      <c r="R6" s="889"/>
      <c r="S6" s="889"/>
      <c r="T6" s="889"/>
      <c r="U6" s="889"/>
      <c r="V6" s="889"/>
      <c r="W6" s="889"/>
      <c r="X6" s="889"/>
      <c r="Y6" s="889"/>
      <c r="Z6" s="889"/>
      <c r="AA6" s="889"/>
      <c r="AB6" s="889"/>
      <c r="AC6" s="889"/>
      <c r="AD6" s="889"/>
      <c r="AE6" s="889"/>
      <c r="AF6" s="889"/>
      <c r="AG6" s="889"/>
      <c r="AH6" s="889"/>
      <c r="AI6" s="889"/>
      <c r="AJ6" s="889"/>
      <c r="AK6" s="889"/>
      <c r="AL6" s="889"/>
      <c r="AM6" s="889"/>
      <c r="AN6" s="889"/>
      <c r="AO6" s="889"/>
      <c r="AP6" s="889"/>
      <c r="AQ6" s="889"/>
      <c r="AR6" s="889"/>
      <c r="AS6" s="889"/>
      <c r="AT6" s="889"/>
      <c r="AU6" s="889"/>
      <c r="AV6" s="889"/>
      <c r="AW6" s="889"/>
      <c r="AX6" s="889"/>
    </row>
    <row r="7" spans="2:50" s="200" customFormat="1" ht="37.5" customHeight="1" thickBot="1" x14ac:dyDescent="0.25">
      <c r="B7" s="882"/>
      <c r="C7" s="886">
        <v>2010</v>
      </c>
      <c r="D7" s="887"/>
      <c r="E7" s="887"/>
      <c r="F7" s="887"/>
      <c r="G7" s="887"/>
      <c r="H7" s="887"/>
      <c r="I7" s="887">
        <v>2011</v>
      </c>
      <c r="J7" s="887"/>
      <c r="K7" s="887"/>
      <c r="L7" s="887"/>
      <c r="M7" s="887"/>
      <c r="N7" s="887"/>
      <c r="O7" s="887">
        <v>2012</v>
      </c>
      <c r="P7" s="887"/>
      <c r="Q7" s="887"/>
      <c r="R7" s="887"/>
      <c r="S7" s="887"/>
      <c r="T7" s="887"/>
      <c r="U7" s="887">
        <v>2013</v>
      </c>
      <c r="V7" s="887"/>
      <c r="W7" s="887"/>
      <c r="X7" s="887"/>
      <c r="Y7" s="887"/>
      <c r="Z7" s="887"/>
      <c r="AA7" s="887">
        <v>2014</v>
      </c>
      <c r="AB7" s="887"/>
      <c r="AC7" s="887"/>
      <c r="AD7" s="887"/>
      <c r="AE7" s="887"/>
      <c r="AF7" s="887"/>
      <c r="AG7" s="887">
        <v>2015</v>
      </c>
      <c r="AH7" s="887"/>
      <c r="AI7" s="887"/>
      <c r="AJ7" s="887"/>
      <c r="AK7" s="887"/>
      <c r="AL7" s="887"/>
      <c r="AM7" s="887">
        <v>2016</v>
      </c>
      <c r="AN7" s="887"/>
      <c r="AO7" s="887"/>
      <c r="AP7" s="887"/>
      <c r="AQ7" s="887"/>
      <c r="AR7" s="887"/>
      <c r="AS7" s="887">
        <v>2017</v>
      </c>
      <c r="AT7" s="887"/>
      <c r="AU7" s="887"/>
      <c r="AV7" s="887"/>
      <c r="AW7" s="887"/>
      <c r="AX7" s="887"/>
    </row>
    <row r="8" spans="2:50" s="53" customFormat="1" ht="30" customHeight="1" x14ac:dyDescent="0.2">
      <c r="B8" s="882"/>
      <c r="C8" s="883" t="s">
        <v>176</v>
      </c>
      <c r="D8" s="883"/>
      <c r="E8" s="883" t="s">
        <v>210</v>
      </c>
      <c r="F8" s="883"/>
      <c r="G8" s="883" t="s">
        <v>211</v>
      </c>
      <c r="H8" s="892"/>
      <c r="I8" s="884" t="s">
        <v>176</v>
      </c>
      <c r="J8" s="883"/>
      <c r="K8" s="883" t="s">
        <v>210</v>
      </c>
      <c r="L8" s="883"/>
      <c r="M8" s="883" t="s">
        <v>211</v>
      </c>
      <c r="N8" s="892"/>
      <c r="O8" s="885" t="s">
        <v>176</v>
      </c>
      <c r="P8" s="885"/>
      <c r="Q8" s="885" t="s">
        <v>210</v>
      </c>
      <c r="R8" s="885"/>
      <c r="S8" s="885" t="s">
        <v>211</v>
      </c>
      <c r="T8" s="885"/>
      <c r="U8" s="885" t="s">
        <v>176</v>
      </c>
      <c r="V8" s="885"/>
      <c r="W8" s="885" t="s">
        <v>210</v>
      </c>
      <c r="X8" s="885"/>
      <c r="Y8" s="885" t="s">
        <v>211</v>
      </c>
      <c r="Z8" s="885"/>
      <c r="AA8" s="885" t="s">
        <v>176</v>
      </c>
      <c r="AB8" s="885"/>
      <c r="AC8" s="885" t="s">
        <v>210</v>
      </c>
      <c r="AD8" s="885"/>
      <c r="AE8" s="885" t="s">
        <v>211</v>
      </c>
      <c r="AF8" s="885"/>
      <c r="AG8" s="885" t="s">
        <v>176</v>
      </c>
      <c r="AH8" s="885"/>
      <c r="AI8" s="885" t="s">
        <v>210</v>
      </c>
      <c r="AJ8" s="885"/>
      <c r="AK8" s="885" t="s">
        <v>211</v>
      </c>
      <c r="AL8" s="885"/>
      <c r="AM8" s="885" t="s">
        <v>176</v>
      </c>
      <c r="AN8" s="885"/>
      <c r="AO8" s="885" t="s">
        <v>210</v>
      </c>
      <c r="AP8" s="885"/>
      <c r="AQ8" s="885" t="s">
        <v>211</v>
      </c>
      <c r="AR8" s="885"/>
      <c r="AS8" s="885" t="s">
        <v>176</v>
      </c>
      <c r="AT8" s="885"/>
      <c r="AU8" s="885" t="s">
        <v>210</v>
      </c>
      <c r="AV8" s="885"/>
      <c r="AW8" s="885" t="s">
        <v>211</v>
      </c>
      <c r="AX8" s="885"/>
    </row>
    <row r="9" spans="2:50" s="53" customFormat="1" ht="35.1" customHeight="1" x14ac:dyDescent="0.2">
      <c r="B9" s="499" t="s">
        <v>25</v>
      </c>
      <c r="C9" s="49">
        <v>3</v>
      </c>
      <c r="D9" s="49"/>
      <c r="E9" s="49">
        <v>244</v>
      </c>
      <c r="F9" s="49"/>
      <c r="G9" s="49">
        <v>3024</v>
      </c>
      <c r="H9" s="49"/>
      <c r="I9" s="49">
        <v>2</v>
      </c>
      <c r="J9" s="49"/>
      <c r="K9" s="49">
        <v>1798</v>
      </c>
      <c r="L9" s="49"/>
      <c r="M9" s="49">
        <v>42640</v>
      </c>
      <c r="N9" s="49"/>
      <c r="O9" s="49">
        <v>1</v>
      </c>
      <c r="P9" s="49"/>
      <c r="Q9" s="49">
        <v>204</v>
      </c>
      <c r="R9" s="49"/>
      <c r="S9" s="49">
        <v>7664</v>
      </c>
      <c r="T9" s="49"/>
      <c r="U9" s="49">
        <v>2</v>
      </c>
      <c r="V9" s="49"/>
      <c r="W9" s="49">
        <v>72</v>
      </c>
      <c r="X9" s="49"/>
      <c r="Y9" s="49">
        <v>1808</v>
      </c>
      <c r="Z9" s="49"/>
      <c r="AA9" s="49">
        <v>1</v>
      </c>
      <c r="AB9" s="49"/>
      <c r="AC9" s="49">
        <v>158</v>
      </c>
      <c r="AD9" s="49"/>
      <c r="AE9" s="49">
        <v>8848</v>
      </c>
      <c r="AF9" s="49"/>
      <c r="AG9" s="49">
        <v>2</v>
      </c>
      <c r="AH9" s="49"/>
      <c r="AI9" s="49">
        <v>2930</v>
      </c>
      <c r="AJ9" s="49"/>
      <c r="AK9" s="49">
        <v>48880</v>
      </c>
      <c r="AL9" s="49"/>
      <c r="AM9" s="49">
        <v>0</v>
      </c>
      <c r="AN9" s="49"/>
      <c r="AO9" s="49">
        <v>0</v>
      </c>
      <c r="AP9" s="49"/>
      <c r="AQ9" s="49">
        <v>8000</v>
      </c>
      <c r="AR9" s="58" t="s">
        <v>62</v>
      </c>
      <c r="AS9" s="49">
        <v>2</v>
      </c>
      <c r="AU9" s="49">
        <v>328</v>
      </c>
      <c r="AV9" s="49"/>
      <c r="AW9" s="49">
        <v>95208</v>
      </c>
      <c r="AX9" s="264"/>
    </row>
    <row r="10" spans="2:50" s="53" customFormat="1" ht="35.1" customHeight="1" x14ac:dyDescent="0.2">
      <c r="B10" s="499" t="s">
        <v>26</v>
      </c>
      <c r="C10" s="49">
        <v>2</v>
      </c>
      <c r="D10" s="49"/>
      <c r="E10" s="49">
        <v>33</v>
      </c>
      <c r="F10" s="49"/>
      <c r="G10" s="49">
        <v>528</v>
      </c>
      <c r="H10" s="49"/>
      <c r="I10" s="49">
        <v>2</v>
      </c>
      <c r="J10" s="49"/>
      <c r="K10" s="49">
        <v>37</v>
      </c>
      <c r="L10" s="49"/>
      <c r="M10" s="49">
        <v>1328</v>
      </c>
      <c r="N10" s="49"/>
      <c r="O10" s="49">
        <v>0</v>
      </c>
      <c r="P10" s="49"/>
      <c r="Q10" s="49">
        <v>0</v>
      </c>
      <c r="R10" s="49"/>
      <c r="S10" s="49">
        <v>0</v>
      </c>
      <c r="T10" s="49"/>
      <c r="U10" s="49">
        <v>1</v>
      </c>
      <c r="V10" s="49"/>
      <c r="W10" s="49">
        <v>273</v>
      </c>
      <c r="X10" s="49"/>
      <c r="Y10" s="49">
        <v>33720</v>
      </c>
      <c r="Z10" s="49"/>
      <c r="AA10" s="49">
        <v>2</v>
      </c>
      <c r="AB10" s="49"/>
      <c r="AC10" s="49">
        <v>178</v>
      </c>
      <c r="AD10" s="49"/>
      <c r="AE10" s="49">
        <v>3648</v>
      </c>
      <c r="AF10" s="49"/>
      <c r="AG10" s="49">
        <v>1</v>
      </c>
      <c r="AH10" s="49"/>
      <c r="AI10" s="49">
        <v>83</v>
      </c>
      <c r="AJ10" s="49"/>
      <c r="AK10" s="49">
        <v>7968</v>
      </c>
      <c r="AL10" s="49"/>
      <c r="AM10" s="49">
        <v>0</v>
      </c>
      <c r="AN10" s="49"/>
      <c r="AO10" s="49">
        <v>0</v>
      </c>
      <c r="AP10" s="49"/>
      <c r="AQ10" s="49">
        <v>0</v>
      </c>
      <c r="AR10" s="49"/>
      <c r="AS10" s="49">
        <v>1</v>
      </c>
      <c r="AU10" s="49">
        <v>77</v>
      </c>
      <c r="AV10" s="49"/>
      <c r="AW10" s="49">
        <v>11144</v>
      </c>
      <c r="AX10" s="372"/>
    </row>
    <row r="11" spans="2:50" s="53" customFormat="1" ht="35.1" customHeight="1" x14ac:dyDescent="0.2">
      <c r="B11" s="499" t="s">
        <v>27</v>
      </c>
      <c r="C11" s="49">
        <v>2</v>
      </c>
      <c r="D11" s="49"/>
      <c r="E11" s="49">
        <v>907</v>
      </c>
      <c r="F11" s="49"/>
      <c r="G11" s="49">
        <v>20056</v>
      </c>
      <c r="H11" s="49"/>
      <c r="I11" s="49">
        <v>3</v>
      </c>
      <c r="J11" s="49"/>
      <c r="K11" s="49">
        <v>1583</v>
      </c>
      <c r="L11" s="49"/>
      <c r="M11" s="49">
        <v>44528</v>
      </c>
      <c r="N11" s="49"/>
      <c r="O11" s="49">
        <v>2</v>
      </c>
      <c r="P11" s="49"/>
      <c r="Q11" s="49">
        <v>411</v>
      </c>
      <c r="R11" s="49"/>
      <c r="S11" s="49">
        <v>14080</v>
      </c>
      <c r="T11" s="49"/>
      <c r="U11" s="49">
        <v>2</v>
      </c>
      <c r="V11" s="49"/>
      <c r="W11" s="49">
        <v>152</v>
      </c>
      <c r="X11" s="49"/>
      <c r="Y11" s="49">
        <v>7184</v>
      </c>
      <c r="Z11" s="49"/>
      <c r="AA11" s="49">
        <v>0</v>
      </c>
      <c r="AB11" s="49"/>
      <c r="AC11" s="49">
        <v>0</v>
      </c>
      <c r="AD11" s="49"/>
      <c r="AE11" s="49">
        <v>0</v>
      </c>
      <c r="AF11" s="49"/>
      <c r="AG11" s="49">
        <v>0</v>
      </c>
      <c r="AH11" s="49"/>
      <c r="AI11" s="49">
        <v>0</v>
      </c>
      <c r="AJ11" s="49"/>
      <c r="AK11" s="49">
        <v>10624</v>
      </c>
      <c r="AL11" s="58" t="s">
        <v>62</v>
      </c>
      <c r="AM11" s="49">
        <v>5</v>
      </c>
      <c r="AN11" s="49"/>
      <c r="AO11" s="49">
        <v>1301</v>
      </c>
      <c r="AP11" s="49"/>
      <c r="AQ11" s="49">
        <v>19520</v>
      </c>
      <c r="AR11" s="58"/>
      <c r="AS11" s="49">
        <v>0</v>
      </c>
      <c r="AU11" s="49">
        <v>0</v>
      </c>
      <c r="AV11" s="49"/>
      <c r="AW11" s="49">
        <v>0</v>
      </c>
      <c r="AX11" s="264"/>
    </row>
    <row r="12" spans="2:50" s="53" customFormat="1" ht="35.1" customHeight="1" x14ac:dyDescent="0.2">
      <c r="B12" s="499" t="s">
        <v>28</v>
      </c>
      <c r="C12" s="663">
        <v>2</v>
      </c>
      <c r="D12" s="663"/>
      <c r="E12" s="49">
        <v>405</v>
      </c>
      <c r="F12" s="49"/>
      <c r="G12" s="49">
        <v>4320</v>
      </c>
      <c r="H12" s="49"/>
      <c r="I12" s="49">
        <v>3</v>
      </c>
      <c r="J12" s="49"/>
      <c r="K12" s="49">
        <v>3305</v>
      </c>
      <c r="L12" s="49"/>
      <c r="M12" s="49">
        <v>287640</v>
      </c>
      <c r="N12" s="49"/>
      <c r="O12" s="49">
        <v>3</v>
      </c>
      <c r="P12" s="49"/>
      <c r="Q12" s="49">
        <v>111</v>
      </c>
      <c r="R12" s="49"/>
      <c r="S12" s="49">
        <v>11984</v>
      </c>
      <c r="T12" s="49"/>
      <c r="U12" s="49">
        <v>2</v>
      </c>
      <c r="V12" s="49"/>
      <c r="W12" s="49">
        <v>988</v>
      </c>
      <c r="X12" s="49"/>
      <c r="Y12" s="49">
        <v>8736</v>
      </c>
      <c r="Z12" s="49"/>
      <c r="AA12" s="49">
        <v>3</v>
      </c>
      <c r="AB12" s="49"/>
      <c r="AC12" s="49">
        <v>891</v>
      </c>
      <c r="AD12" s="49"/>
      <c r="AE12" s="49">
        <v>14256</v>
      </c>
      <c r="AF12" s="49"/>
      <c r="AG12" s="49">
        <v>3</v>
      </c>
      <c r="AH12" s="49"/>
      <c r="AI12" s="49">
        <v>838</v>
      </c>
      <c r="AJ12" s="49"/>
      <c r="AK12" s="49">
        <v>18664</v>
      </c>
      <c r="AL12" s="49"/>
      <c r="AM12" s="49">
        <v>1</v>
      </c>
      <c r="AN12" s="49"/>
      <c r="AO12" s="49">
        <v>58</v>
      </c>
      <c r="AP12" s="49"/>
      <c r="AQ12" s="49">
        <v>928</v>
      </c>
      <c r="AR12" s="49"/>
      <c r="AS12" s="49">
        <v>3</v>
      </c>
      <c r="AU12" s="49">
        <v>1408</v>
      </c>
      <c r="AV12" s="49"/>
      <c r="AW12" s="49">
        <v>115808</v>
      </c>
      <c r="AX12" s="4"/>
    </row>
    <row r="13" spans="2:50" s="53" customFormat="1" ht="35.1" customHeight="1" x14ac:dyDescent="0.2">
      <c r="B13" s="499" t="s">
        <v>29</v>
      </c>
      <c r="C13" s="49">
        <v>4</v>
      </c>
      <c r="D13" s="49"/>
      <c r="E13" s="49">
        <v>1850</v>
      </c>
      <c r="F13" s="49"/>
      <c r="G13" s="49">
        <v>40144</v>
      </c>
      <c r="H13" s="49"/>
      <c r="I13" s="49">
        <v>2</v>
      </c>
      <c r="J13" s="49"/>
      <c r="K13" s="49">
        <v>404</v>
      </c>
      <c r="L13" s="49"/>
      <c r="M13" s="49">
        <v>25464</v>
      </c>
      <c r="N13" s="49"/>
      <c r="O13" s="49">
        <v>3</v>
      </c>
      <c r="P13" s="49"/>
      <c r="Q13" s="49">
        <v>313</v>
      </c>
      <c r="R13" s="49"/>
      <c r="S13" s="49">
        <v>2856</v>
      </c>
      <c r="T13" s="49"/>
      <c r="U13" s="49">
        <v>0</v>
      </c>
      <c r="V13" s="49"/>
      <c r="W13" s="49">
        <v>0</v>
      </c>
      <c r="X13" s="49"/>
      <c r="Y13" s="49">
        <v>14000</v>
      </c>
      <c r="Z13" s="58" t="s">
        <v>62</v>
      </c>
      <c r="AA13" s="49">
        <v>4</v>
      </c>
      <c r="AB13" s="49"/>
      <c r="AC13" s="49">
        <v>1168</v>
      </c>
      <c r="AD13" s="49"/>
      <c r="AE13" s="49">
        <v>75702</v>
      </c>
      <c r="AF13" s="49"/>
      <c r="AG13" s="49">
        <v>0</v>
      </c>
      <c r="AH13" s="49"/>
      <c r="AI13" s="49">
        <v>0</v>
      </c>
      <c r="AJ13" s="49"/>
      <c r="AK13" s="49">
        <v>0</v>
      </c>
      <c r="AL13" s="58"/>
      <c r="AM13" s="49">
        <v>1</v>
      </c>
      <c r="AN13" s="49"/>
      <c r="AO13" s="49">
        <v>230</v>
      </c>
      <c r="AP13" s="49"/>
      <c r="AQ13" s="49">
        <v>5520</v>
      </c>
      <c r="AR13" s="58"/>
      <c r="AS13" s="49">
        <v>1</v>
      </c>
      <c r="AU13" s="49">
        <v>89</v>
      </c>
      <c r="AV13" s="49"/>
      <c r="AW13" s="49">
        <v>1424</v>
      </c>
      <c r="AX13" s="4"/>
    </row>
    <row r="14" spans="2:50" s="53" customFormat="1" ht="35.1" customHeight="1" x14ac:dyDescent="0.2">
      <c r="B14" s="499" t="s">
        <v>30</v>
      </c>
      <c r="C14" s="350">
        <v>1</v>
      </c>
      <c r="D14" s="350"/>
      <c r="E14" s="49">
        <v>42</v>
      </c>
      <c r="F14" s="49"/>
      <c r="G14" s="49">
        <v>5040</v>
      </c>
      <c r="H14" s="49"/>
      <c r="I14" s="49">
        <v>1</v>
      </c>
      <c r="J14" s="49"/>
      <c r="K14" s="49">
        <v>43</v>
      </c>
      <c r="L14" s="49"/>
      <c r="M14" s="49">
        <v>6504</v>
      </c>
      <c r="N14" s="49"/>
      <c r="O14" s="49">
        <v>4</v>
      </c>
      <c r="P14" s="49"/>
      <c r="Q14" s="49">
        <v>541</v>
      </c>
      <c r="R14" s="49"/>
      <c r="S14" s="49">
        <v>7760</v>
      </c>
      <c r="T14" s="49"/>
      <c r="U14" s="49">
        <v>1</v>
      </c>
      <c r="V14" s="49"/>
      <c r="W14" s="49">
        <v>21</v>
      </c>
      <c r="X14" s="49"/>
      <c r="Y14" s="49">
        <v>336</v>
      </c>
      <c r="Z14" s="49"/>
      <c r="AA14" s="49">
        <v>2</v>
      </c>
      <c r="AB14" s="49"/>
      <c r="AC14" s="49">
        <v>577</v>
      </c>
      <c r="AD14" s="49"/>
      <c r="AE14" s="49">
        <v>52576</v>
      </c>
      <c r="AF14" s="49"/>
      <c r="AG14" s="49">
        <v>2</v>
      </c>
      <c r="AH14" s="49"/>
      <c r="AI14" s="49">
        <v>1020</v>
      </c>
      <c r="AJ14" s="49"/>
      <c r="AK14" s="49">
        <v>83520</v>
      </c>
      <c r="AL14" s="49"/>
      <c r="AM14" s="49">
        <v>1</v>
      </c>
      <c r="AN14" s="49"/>
      <c r="AO14" s="49">
        <v>171</v>
      </c>
      <c r="AP14" s="49"/>
      <c r="AQ14" s="49">
        <v>2736</v>
      </c>
      <c r="AR14" s="49"/>
      <c r="AS14" s="49">
        <v>3</v>
      </c>
      <c r="AU14" s="49">
        <v>245</v>
      </c>
      <c r="AV14" s="49"/>
      <c r="AW14" s="49">
        <v>1960</v>
      </c>
      <c r="AX14" s="4"/>
    </row>
    <row r="15" spans="2:50" s="53" customFormat="1" ht="35.1" customHeight="1" x14ac:dyDescent="0.2">
      <c r="B15" s="499" t="s">
        <v>164</v>
      </c>
      <c r="C15" s="350">
        <v>3</v>
      </c>
      <c r="D15" s="350"/>
      <c r="E15" s="49">
        <v>1680</v>
      </c>
      <c r="F15" s="49"/>
      <c r="G15" s="49">
        <v>27280</v>
      </c>
      <c r="H15" s="49"/>
      <c r="I15" s="663" t="s">
        <v>8</v>
      </c>
      <c r="J15" s="663"/>
      <c r="K15" s="663">
        <v>0</v>
      </c>
      <c r="L15" s="663"/>
      <c r="M15" s="49">
        <v>0</v>
      </c>
      <c r="N15" s="49"/>
      <c r="O15" s="49">
        <v>2</v>
      </c>
      <c r="P15" s="49"/>
      <c r="Q15" s="49">
        <v>305</v>
      </c>
      <c r="R15" s="49"/>
      <c r="S15" s="49">
        <v>31048</v>
      </c>
      <c r="T15" s="49"/>
      <c r="U15" s="49">
        <v>2</v>
      </c>
      <c r="V15" s="49"/>
      <c r="W15" s="49">
        <v>261</v>
      </c>
      <c r="X15" s="49"/>
      <c r="Y15" s="49">
        <v>18954</v>
      </c>
      <c r="Z15" s="49"/>
      <c r="AA15" s="49">
        <v>4</v>
      </c>
      <c r="AB15" s="49"/>
      <c r="AC15" s="49">
        <v>658</v>
      </c>
      <c r="AD15" s="49"/>
      <c r="AE15" s="49">
        <v>62066</v>
      </c>
      <c r="AF15" s="49"/>
      <c r="AG15" s="49">
        <v>3</v>
      </c>
      <c r="AH15" s="49"/>
      <c r="AI15" s="49">
        <v>162</v>
      </c>
      <c r="AJ15" s="49"/>
      <c r="AK15" s="49">
        <v>4496</v>
      </c>
      <c r="AL15" s="49"/>
      <c r="AM15" s="49">
        <v>0</v>
      </c>
      <c r="AN15" s="49"/>
      <c r="AO15" s="49">
        <v>0</v>
      </c>
      <c r="AP15" s="49"/>
      <c r="AQ15" s="49">
        <v>0</v>
      </c>
      <c r="AR15" s="49"/>
      <c r="AS15" s="49">
        <v>7</v>
      </c>
      <c r="AU15" s="49">
        <v>12257</v>
      </c>
      <c r="AV15" s="49"/>
      <c r="AW15" s="49">
        <v>412112</v>
      </c>
      <c r="AX15" s="4"/>
    </row>
    <row r="16" spans="2:50" s="53" customFormat="1" ht="35.1" customHeight="1" x14ac:dyDescent="0.2">
      <c r="B16" s="499" t="s">
        <v>32</v>
      </c>
      <c r="C16" s="663">
        <v>1</v>
      </c>
      <c r="D16" s="663"/>
      <c r="E16" s="49">
        <v>110</v>
      </c>
      <c r="F16" s="49"/>
      <c r="G16" s="49">
        <v>3520</v>
      </c>
      <c r="H16" s="49"/>
      <c r="I16" s="49">
        <v>3</v>
      </c>
      <c r="J16" s="49"/>
      <c r="K16" s="49">
        <v>274</v>
      </c>
      <c r="L16" s="49"/>
      <c r="M16" s="49">
        <v>14816</v>
      </c>
      <c r="N16" s="49"/>
      <c r="O16" s="49">
        <v>1</v>
      </c>
      <c r="P16" s="49"/>
      <c r="Q16" s="49">
        <v>623</v>
      </c>
      <c r="R16" s="49"/>
      <c r="S16" s="49">
        <v>98924</v>
      </c>
      <c r="T16" s="49"/>
      <c r="U16" s="49">
        <v>4</v>
      </c>
      <c r="V16" s="49"/>
      <c r="W16" s="49">
        <v>832</v>
      </c>
      <c r="X16" s="49"/>
      <c r="Y16" s="49">
        <v>19200</v>
      </c>
      <c r="Z16" s="49"/>
      <c r="AA16" s="49">
        <v>2</v>
      </c>
      <c r="AB16" s="49"/>
      <c r="AC16" s="49">
        <v>248</v>
      </c>
      <c r="AD16" s="49"/>
      <c r="AE16" s="49">
        <v>8480</v>
      </c>
      <c r="AF16" s="49"/>
      <c r="AG16" s="49">
        <v>0</v>
      </c>
      <c r="AH16" s="49"/>
      <c r="AI16" s="49">
        <v>0</v>
      </c>
      <c r="AJ16" s="49"/>
      <c r="AK16" s="49">
        <v>0</v>
      </c>
      <c r="AL16" s="49"/>
      <c r="AM16" s="49">
        <v>0</v>
      </c>
      <c r="AN16" s="49"/>
      <c r="AO16" s="49">
        <v>0</v>
      </c>
      <c r="AP16" s="49"/>
      <c r="AQ16" s="49">
        <v>0</v>
      </c>
      <c r="AR16" s="49"/>
      <c r="AS16" s="49">
        <v>2</v>
      </c>
      <c r="AU16" s="49">
        <v>8143</v>
      </c>
      <c r="AV16" s="49"/>
      <c r="AW16" s="49">
        <v>195238</v>
      </c>
      <c r="AX16" s="4"/>
    </row>
    <row r="17" spans="2:50" s="53" customFormat="1" ht="35.1" customHeight="1" x14ac:dyDescent="0.2">
      <c r="B17" s="499" t="s">
        <v>33</v>
      </c>
      <c r="C17" s="663">
        <v>2</v>
      </c>
      <c r="D17" s="663"/>
      <c r="E17" s="49">
        <v>507</v>
      </c>
      <c r="F17" s="49"/>
      <c r="G17" s="49">
        <v>5624</v>
      </c>
      <c r="H17" s="49"/>
      <c r="I17" s="49">
        <v>1</v>
      </c>
      <c r="J17" s="49"/>
      <c r="K17" s="49">
        <v>77</v>
      </c>
      <c r="L17" s="49"/>
      <c r="M17" s="49">
        <v>616</v>
      </c>
      <c r="N17" s="49"/>
      <c r="O17" s="49">
        <v>2</v>
      </c>
      <c r="P17" s="49"/>
      <c r="Q17" s="49">
        <v>125</v>
      </c>
      <c r="R17" s="49"/>
      <c r="S17" s="49">
        <v>28814</v>
      </c>
      <c r="T17" s="49"/>
      <c r="U17" s="49">
        <v>3</v>
      </c>
      <c r="V17" s="49"/>
      <c r="W17" s="49">
        <v>809</v>
      </c>
      <c r="X17" s="49"/>
      <c r="Y17" s="49">
        <v>33856</v>
      </c>
      <c r="Z17" s="49"/>
      <c r="AA17" s="49">
        <v>8</v>
      </c>
      <c r="AB17" s="49"/>
      <c r="AC17" s="49">
        <v>2551</v>
      </c>
      <c r="AD17" s="49"/>
      <c r="AE17" s="49">
        <v>164968</v>
      </c>
      <c r="AF17" s="49"/>
      <c r="AG17" s="49">
        <v>1</v>
      </c>
      <c r="AH17" s="49"/>
      <c r="AI17" s="49">
        <v>218</v>
      </c>
      <c r="AJ17" s="49"/>
      <c r="AK17" s="49">
        <v>1744</v>
      </c>
      <c r="AL17" s="49"/>
      <c r="AM17" s="49">
        <v>2</v>
      </c>
      <c r="AN17" s="49"/>
      <c r="AO17" s="49">
        <v>474</v>
      </c>
      <c r="AP17" s="49"/>
      <c r="AQ17" s="49">
        <v>7584</v>
      </c>
      <c r="AR17" s="49"/>
      <c r="AS17" s="49">
        <v>2</v>
      </c>
      <c r="AU17" s="49">
        <v>2463</v>
      </c>
      <c r="AV17" s="49"/>
      <c r="AW17" s="49">
        <v>124836</v>
      </c>
      <c r="AX17" s="4"/>
    </row>
    <row r="18" spans="2:50" s="53" customFormat="1" ht="35.1" customHeight="1" x14ac:dyDescent="0.2">
      <c r="B18" s="499" t="s">
        <v>34</v>
      </c>
      <c r="C18" s="350">
        <v>4</v>
      </c>
      <c r="D18" s="350"/>
      <c r="E18" s="49">
        <v>2250</v>
      </c>
      <c r="F18" s="49"/>
      <c r="G18" s="49">
        <v>39256</v>
      </c>
      <c r="H18" s="49"/>
      <c r="I18" s="49">
        <v>3</v>
      </c>
      <c r="J18" s="49"/>
      <c r="K18" s="49">
        <v>396</v>
      </c>
      <c r="L18" s="49"/>
      <c r="M18" s="49">
        <v>33800</v>
      </c>
      <c r="N18" s="49"/>
      <c r="O18" s="49">
        <v>2</v>
      </c>
      <c r="P18" s="49"/>
      <c r="Q18" s="49">
        <v>315</v>
      </c>
      <c r="R18" s="49"/>
      <c r="S18" s="49">
        <v>12960</v>
      </c>
      <c r="T18" s="49"/>
      <c r="U18" s="49">
        <v>2</v>
      </c>
      <c r="V18" s="49"/>
      <c r="W18" s="49">
        <v>160</v>
      </c>
      <c r="X18" s="49"/>
      <c r="Y18" s="49">
        <v>5760</v>
      </c>
      <c r="Z18" s="49"/>
      <c r="AA18" s="49">
        <v>8</v>
      </c>
      <c r="AB18" s="49"/>
      <c r="AC18" s="49">
        <v>1240</v>
      </c>
      <c r="AD18" s="49"/>
      <c r="AE18" s="49">
        <v>262336</v>
      </c>
      <c r="AF18" s="58"/>
      <c r="AG18" s="49">
        <v>3</v>
      </c>
      <c r="AH18" s="49"/>
      <c r="AI18" s="49">
        <v>226</v>
      </c>
      <c r="AJ18" s="49"/>
      <c r="AK18" s="49">
        <v>8224</v>
      </c>
      <c r="AM18" s="49">
        <v>1</v>
      </c>
      <c r="AN18" s="49"/>
      <c r="AO18" s="49">
        <v>2289</v>
      </c>
      <c r="AP18" s="49"/>
      <c r="AQ18" s="49">
        <v>20872</v>
      </c>
      <c r="AS18" s="49">
        <v>3</v>
      </c>
      <c r="AU18" s="49">
        <v>22054</v>
      </c>
      <c r="AV18" s="49"/>
      <c r="AW18" s="49">
        <v>1001324</v>
      </c>
      <c r="AX18" s="4"/>
    </row>
    <row r="19" spans="2:50" s="53" customFormat="1" ht="35.1" customHeight="1" x14ac:dyDescent="0.2">
      <c r="B19" s="499" t="s">
        <v>35</v>
      </c>
      <c r="C19" s="350">
        <v>2</v>
      </c>
      <c r="D19" s="350"/>
      <c r="E19" s="49">
        <v>119</v>
      </c>
      <c r="F19" s="49"/>
      <c r="G19" s="49">
        <v>4840</v>
      </c>
      <c r="H19" s="49"/>
      <c r="I19" s="49">
        <v>4</v>
      </c>
      <c r="J19" s="49"/>
      <c r="K19" s="49">
        <v>440</v>
      </c>
      <c r="L19" s="49"/>
      <c r="M19" s="49">
        <v>35872</v>
      </c>
      <c r="N19" s="49"/>
      <c r="O19" s="49">
        <v>7</v>
      </c>
      <c r="P19" s="49"/>
      <c r="Q19" s="49">
        <v>2685</v>
      </c>
      <c r="R19" s="49"/>
      <c r="S19" s="49">
        <v>77824</v>
      </c>
      <c r="T19" s="49"/>
      <c r="U19" s="49">
        <v>2</v>
      </c>
      <c r="V19" s="49"/>
      <c r="W19" s="49">
        <v>1010</v>
      </c>
      <c r="X19" s="49"/>
      <c r="Y19" s="49">
        <v>25840</v>
      </c>
      <c r="Z19" s="49"/>
      <c r="AA19" s="49">
        <v>2</v>
      </c>
      <c r="AB19" s="49"/>
      <c r="AC19" s="49">
        <v>235</v>
      </c>
      <c r="AD19" s="49"/>
      <c r="AE19" s="49">
        <v>97032</v>
      </c>
      <c r="AF19" s="58"/>
      <c r="AG19" s="49">
        <v>4</v>
      </c>
      <c r="AH19" s="49"/>
      <c r="AI19" s="49">
        <v>10127</v>
      </c>
      <c r="AJ19" s="49"/>
      <c r="AK19" s="49">
        <v>196392</v>
      </c>
      <c r="AM19" s="49">
        <v>3</v>
      </c>
      <c r="AN19" s="49"/>
      <c r="AO19" s="49">
        <v>3234</v>
      </c>
      <c r="AP19" s="49"/>
      <c r="AQ19" s="49">
        <v>326672</v>
      </c>
      <c r="AS19" s="49">
        <v>1</v>
      </c>
      <c r="AU19" s="49">
        <v>886</v>
      </c>
      <c r="AV19" s="49"/>
      <c r="AW19" s="49">
        <v>42528</v>
      </c>
      <c r="AX19" s="4"/>
    </row>
    <row r="20" spans="2:50" s="53" customFormat="1" ht="34.5" customHeight="1" x14ac:dyDescent="0.2">
      <c r="B20" s="499" t="s">
        <v>146</v>
      </c>
      <c r="C20" s="49">
        <v>3</v>
      </c>
      <c r="D20" s="49"/>
      <c r="E20" s="49">
        <v>452</v>
      </c>
      <c r="F20" s="49"/>
      <c r="G20" s="49">
        <v>13136</v>
      </c>
      <c r="H20" s="49"/>
      <c r="I20" s="49">
        <v>3</v>
      </c>
      <c r="J20" s="49"/>
      <c r="K20" s="49">
        <v>663</v>
      </c>
      <c r="L20" s="49"/>
      <c r="M20" s="49">
        <v>49976</v>
      </c>
      <c r="N20" s="49"/>
      <c r="O20" s="49">
        <v>3</v>
      </c>
      <c r="P20" s="49"/>
      <c r="Q20" s="49">
        <v>331</v>
      </c>
      <c r="R20" s="49"/>
      <c r="S20" s="350">
        <v>10344</v>
      </c>
      <c r="T20" s="350"/>
      <c r="U20" s="49">
        <v>3</v>
      </c>
      <c r="V20" s="49"/>
      <c r="W20" s="49">
        <v>1152</v>
      </c>
      <c r="X20" s="49"/>
      <c r="Y20" s="49">
        <v>27648</v>
      </c>
      <c r="Z20" s="350"/>
      <c r="AA20" s="49">
        <v>7</v>
      </c>
      <c r="AB20" s="49"/>
      <c r="AC20" s="49">
        <v>3067</v>
      </c>
      <c r="AD20" s="49"/>
      <c r="AE20" s="49">
        <v>78728</v>
      </c>
      <c r="AF20" s="49"/>
      <c r="AG20" s="49">
        <v>4</v>
      </c>
      <c r="AH20" s="49"/>
      <c r="AI20" s="49">
        <v>1232</v>
      </c>
      <c r="AJ20" s="49"/>
      <c r="AK20" s="49">
        <v>78232</v>
      </c>
      <c r="AL20" s="58"/>
      <c r="AM20" s="49">
        <v>3</v>
      </c>
      <c r="AN20" s="49"/>
      <c r="AO20" s="49">
        <v>461</v>
      </c>
      <c r="AP20" s="49"/>
      <c r="AQ20" s="49">
        <v>588688</v>
      </c>
      <c r="AR20" s="58"/>
      <c r="AS20" s="49">
        <v>0</v>
      </c>
      <c r="AU20" s="49">
        <v>0</v>
      </c>
      <c r="AV20" s="49"/>
      <c r="AW20" s="49">
        <v>21264</v>
      </c>
      <c r="AX20" s="373" t="s">
        <v>62</v>
      </c>
    </row>
    <row r="21" spans="2:50" s="53" customFormat="1" ht="8.25" customHeight="1" x14ac:dyDescent="0.2">
      <c r="B21" s="499"/>
      <c r="C21" s="49"/>
      <c r="D21" s="49"/>
      <c r="E21" s="49"/>
      <c r="F21" s="49"/>
      <c r="G21" s="49"/>
      <c r="H21" s="49"/>
      <c r="I21" s="49"/>
      <c r="J21" s="49"/>
      <c r="K21" s="49"/>
      <c r="L21" s="49"/>
      <c r="M21" s="49"/>
      <c r="N21" s="49"/>
      <c r="O21" s="49"/>
      <c r="P21" s="49"/>
      <c r="Q21" s="49"/>
      <c r="R21" s="49"/>
      <c r="S21" s="350"/>
      <c r="T21" s="350"/>
      <c r="V21" s="49"/>
      <c r="W21" s="49"/>
      <c r="X21" s="49"/>
      <c r="Y21" s="350"/>
      <c r="Z21" s="350"/>
      <c r="AC21" s="49"/>
      <c r="AD21" s="49"/>
      <c r="AE21" s="350"/>
      <c r="AF21" s="350"/>
      <c r="AI21" s="49"/>
      <c r="AJ21" s="49"/>
      <c r="AK21" s="350"/>
      <c r="AL21" s="49"/>
      <c r="AO21" s="49"/>
      <c r="AP21" s="49"/>
      <c r="AQ21" s="49"/>
      <c r="AR21" s="49"/>
      <c r="AU21" s="49"/>
      <c r="AV21" s="49"/>
      <c r="AW21" s="49"/>
      <c r="AX21" s="4"/>
    </row>
    <row r="22" spans="2:50" s="201" customFormat="1" ht="44.25" customHeight="1" x14ac:dyDescent="0.2">
      <c r="B22" s="498" t="s">
        <v>6</v>
      </c>
      <c r="C22" s="390">
        <f>SUM(C9:C20)</f>
        <v>29</v>
      </c>
      <c r="D22" s="390"/>
      <c r="E22" s="390">
        <f>SUM(E9:E20)</f>
        <v>8599</v>
      </c>
      <c r="F22" s="390"/>
      <c r="G22" s="390">
        <f>SUM(G9:G20)</f>
        <v>166768</v>
      </c>
      <c r="H22" s="390"/>
      <c r="I22" s="390">
        <f>SUM(I9:I20)</f>
        <v>27</v>
      </c>
      <c r="J22" s="390"/>
      <c r="K22" s="390">
        <f>SUM(K9:K20)</f>
        <v>9020</v>
      </c>
      <c r="L22" s="390"/>
      <c r="M22" s="390">
        <f>SUM(M9:M20)</f>
        <v>543184</v>
      </c>
      <c r="N22" s="390"/>
      <c r="O22" s="390">
        <f>SUM(O9:O20)</f>
        <v>30</v>
      </c>
      <c r="P22" s="390"/>
      <c r="Q22" s="390">
        <f>SUM(Q9:Q20)</f>
        <v>5964</v>
      </c>
      <c r="R22" s="390"/>
      <c r="S22" s="390">
        <f>SUM(S9:S20)</f>
        <v>304258</v>
      </c>
      <c r="T22" s="390"/>
      <c r="U22" s="390">
        <f>SUM(U9:U21)</f>
        <v>24</v>
      </c>
      <c r="V22" s="390"/>
      <c r="W22" s="390">
        <f>SUM(W9:W21)</f>
        <v>5730</v>
      </c>
      <c r="X22" s="390"/>
      <c r="Y22" s="390">
        <f>SUM(Y9:Y20)</f>
        <v>197042</v>
      </c>
      <c r="Z22" s="390"/>
      <c r="AA22" s="390">
        <f>SUM(AA9:AA21)</f>
        <v>43</v>
      </c>
      <c r="AB22" s="390"/>
      <c r="AC22" s="390">
        <f>SUM(AC9:AC21)</f>
        <v>10971</v>
      </c>
      <c r="AD22" s="390"/>
      <c r="AE22" s="390">
        <f>SUM(AE9:AE21)</f>
        <v>828640</v>
      </c>
      <c r="AF22" s="390"/>
      <c r="AG22" s="390">
        <f>SUM(AG9:AG21)</f>
        <v>23</v>
      </c>
      <c r="AH22" s="390"/>
      <c r="AI22" s="390">
        <f>SUM(AI9:AI21)</f>
        <v>16836</v>
      </c>
      <c r="AJ22" s="390"/>
      <c r="AK22" s="390">
        <f>SUM(AK9:AK21)</f>
        <v>458744</v>
      </c>
      <c r="AL22" s="390"/>
      <c r="AM22" s="390">
        <f>SUM(AM9:AM21)</f>
        <v>17</v>
      </c>
      <c r="AN22" s="390"/>
      <c r="AO22" s="390">
        <f>SUM(AO9:AO21)</f>
        <v>8218</v>
      </c>
      <c r="AP22" s="390"/>
      <c r="AQ22" s="390">
        <f>SUM(AQ9:AQ20)</f>
        <v>980520</v>
      </c>
      <c r="AR22" s="390"/>
      <c r="AS22" s="390">
        <f>SUM(AS9:AS21)</f>
        <v>25</v>
      </c>
      <c r="AT22" s="390"/>
      <c r="AU22" s="390">
        <f>SUM(AU9:AU21)</f>
        <v>47950</v>
      </c>
      <c r="AV22" s="390"/>
      <c r="AW22" s="390">
        <f>SUM(AW9:AW20)</f>
        <v>2022846</v>
      </c>
      <c r="AX22" s="482"/>
    </row>
    <row r="23" spans="2:50" s="203" customFormat="1" ht="44.25" customHeight="1" x14ac:dyDescent="0.2">
      <c r="B23" s="371"/>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row>
    <row r="24" spans="2:50" s="200" customFormat="1" ht="54" customHeight="1" x14ac:dyDescent="0.2">
      <c r="B24" s="902" t="s">
        <v>24</v>
      </c>
      <c r="C24" s="899" t="s">
        <v>1</v>
      </c>
      <c r="D24" s="900"/>
      <c r="E24" s="900"/>
      <c r="F24" s="900"/>
      <c r="G24" s="900"/>
      <c r="H24" s="900"/>
      <c r="I24" s="900"/>
      <c r="J24" s="900"/>
      <c r="K24" s="900"/>
      <c r="L24" s="900"/>
      <c r="M24" s="900"/>
      <c r="N24" s="900"/>
      <c r="O24" s="900"/>
      <c r="P24" s="900"/>
      <c r="Q24" s="900"/>
      <c r="R24" s="900"/>
      <c r="S24" s="900"/>
      <c r="T24" s="900"/>
      <c r="U24" s="900"/>
      <c r="V24" s="900"/>
      <c r="W24" s="900"/>
      <c r="X24" s="900"/>
      <c r="Y24" s="900"/>
      <c r="Z24" s="900"/>
      <c r="AA24" s="900"/>
      <c r="AB24" s="900"/>
      <c r="AC24" s="900"/>
      <c r="AD24" s="900"/>
      <c r="AE24" s="900"/>
      <c r="AF24" s="900"/>
      <c r="AG24" s="900"/>
      <c r="AH24" s="900"/>
      <c r="AI24" s="900"/>
      <c r="AJ24" s="900"/>
      <c r="AK24" s="900"/>
      <c r="AL24" s="900"/>
      <c r="AM24" s="900"/>
      <c r="AN24" s="900"/>
      <c r="AO24" s="900"/>
      <c r="AP24" s="900"/>
      <c r="AQ24" s="900"/>
      <c r="AR24" s="900"/>
      <c r="AS24" s="900"/>
      <c r="AT24" s="900"/>
      <c r="AU24" s="900"/>
      <c r="AV24" s="900"/>
      <c r="AW24" s="900"/>
      <c r="AX24" s="900"/>
    </row>
    <row r="25" spans="2:50" s="200" customFormat="1" ht="32.25" customHeight="1" x14ac:dyDescent="0.2">
      <c r="B25" s="902"/>
      <c r="C25" s="781">
        <v>2018</v>
      </c>
      <c r="D25" s="781"/>
      <c r="E25" s="781"/>
      <c r="F25" s="781"/>
      <c r="G25" s="781"/>
      <c r="H25" s="781"/>
      <c r="I25" s="781">
        <v>2019</v>
      </c>
      <c r="J25" s="781"/>
      <c r="K25" s="781"/>
      <c r="L25" s="781"/>
      <c r="M25" s="781"/>
      <c r="N25" s="781"/>
      <c r="O25" s="781">
        <v>2020</v>
      </c>
      <c r="P25" s="781"/>
      <c r="Q25" s="781"/>
      <c r="R25" s="781"/>
      <c r="S25" s="781"/>
      <c r="T25" s="781"/>
      <c r="U25" s="781">
        <v>2021</v>
      </c>
      <c r="V25" s="781"/>
      <c r="W25" s="781"/>
      <c r="X25" s="781"/>
      <c r="Y25" s="781"/>
      <c r="Z25" s="781"/>
      <c r="AA25" s="781">
        <v>2022</v>
      </c>
      <c r="AB25" s="781"/>
      <c r="AC25" s="781"/>
      <c r="AD25" s="781"/>
      <c r="AE25" s="781"/>
      <c r="AF25" s="781"/>
      <c r="AG25" s="781">
        <v>2023</v>
      </c>
      <c r="AH25" s="781"/>
      <c r="AI25" s="781"/>
      <c r="AJ25" s="781"/>
      <c r="AK25" s="781"/>
      <c r="AL25" s="898"/>
      <c r="AM25" s="781">
        <v>2024</v>
      </c>
      <c r="AN25" s="781"/>
      <c r="AO25" s="781"/>
      <c r="AP25" s="781"/>
      <c r="AQ25" s="781"/>
      <c r="AR25" s="781"/>
      <c r="AS25" s="781">
        <v>2025</v>
      </c>
      <c r="AT25" s="781"/>
      <c r="AU25" s="781"/>
      <c r="AV25" s="781"/>
      <c r="AW25" s="781"/>
      <c r="AX25" s="781"/>
    </row>
    <row r="26" spans="2:50" s="53" customFormat="1" ht="30" customHeight="1" x14ac:dyDescent="0.2">
      <c r="B26" s="902"/>
      <c r="C26" s="895" t="s">
        <v>176</v>
      </c>
      <c r="D26" s="896"/>
      <c r="E26" s="896" t="s">
        <v>210</v>
      </c>
      <c r="F26" s="896"/>
      <c r="G26" s="896" t="s">
        <v>211</v>
      </c>
      <c r="H26" s="897"/>
      <c r="I26" s="895" t="s">
        <v>176</v>
      </c>
      <c r="J26" s="896"/>
      <c r="K26" s="896" t="s">
        <v>210</v>
      </c>
      <c r="L26" s="896"/>
      <c r="M26" s="896" t="s">
        <v>211</v>
      </c>
      <c r="N26" s="897"/>
      <c r="O26" s="895" t="s">
        <v>176</v>
      </c>
      <c r="P26" s="896"/>
      <c r="Q26" s="896" t="s">
        <v>210</v>
      </c>
      <c r="R26" s="896"/>
      <c r="S26" s="896" t="s">
        <v>211</v>
      </c>
      <c r="T26" s="897"/>
      <c r="U26" s="895" t="s">
        <v>176</v>
      </c>
      <c r="V26" s="896"/>
      <c r="W26" s="896" t="s">
        <v>210</v>
      </c>
      <c r="X26" s="896"/>
      <c r="Y26" s="896" t="s">
        <v>211</v>
      </c>
      <c r="Z26" s="897"/>
      <c r="AA26" s="895" t="s">
        <v>176</v>
      </c>
      <c r="AB26" s="896"/>
      <c r="AC26" s="896" t="s">
        <v>210</v>
      </c>
      <c r="AD26" s="896"/>
      <c r="AE26" s="896" t="s">
        <v>211</v>
      </c>
      <c r="AF26" s="897"/>
      <c r="AG26" s="895" t="s">
        <v>176</v>
      </c>
      <c r="AH26" s="896"/>
      <c r="AI26" s="896" t="s">
        <v>210</v>
      </c>
      <c r="AJ26" s="896"/>
      <c r="AK26" s="896" t="s">
        <v>211</v>
      </c>
      <c r="AL26" s="897"/>
      <c r="AM26" s="895" t="s">
        <v>176</v>
      </c>
      <c r="AN26" s="896"/>
      <c r="AO26" s="896" t="s">
        <v>210</v>
      </c>
      <c r="AP26" s="896"/>
      <c r="AQ26" s="896" t="s">
        <v>211</v>
      </c>
      <c r="AR26" s="897"/>
      <c r="AS26" s="895" t="s">
        <v>176</v>
      </c>
      <c r="AT26" s="896"/>
      <c r="AU26" s="896" t="s">
        <v>210</v>
      </c>
      <c r="AV26" s="896"/>
      <c r="AW26" s="896" t="s">
        <v>211</v>
      </c>
      <c r="AX26" s="897"/>
    </row>
    <row r="27" spans="2:50" s="53" customFormat="1" ht="35.1" customHeight="1" x14ac:dyDescent="0.2">
      <c r="B27" s="499" t="s">
        <v>25</v>
      </c>
      <c r="C27" s="49">
        <v>0</v>
      </c>
      <c r="D27" s="49"/>
      <c r="E27" s="49">
        <v>0</v>
      </c>
      <c r="F27" s="49"/>
      <c r="G27" s="49">
        <v>0</v>
      </c>
      <c r="H27" s="49"/>
      <c r="I27" s="49">
        <v>0</v>
      </c>
      <c r="J27" s="49"/>
      <c r="K27" s="49">
        <v>0</v>
      </c>
      <c r="L27" s="49"/>
      <c r="M27" s="49">
        <v>0</v>
      </c>
      <c r="N27" s="49"/>
      <c r="O27" s="49">
        <v>3</v>
      </c>
      <c r="P27" s="49"/>
      <c r="Q27" s="49">
        <v>22473</v>
      </c>
      <c r="R27" s="49"/>
      <c r="S27" s="49">
        <v>351792</v>
      </c>
      <c r="T27" s="49"/>
      <c r="U27" s="49">
        <v>1</v>
      </c>
      <c r="V27" s="49"/>
      <c r="W27" s="49">
        <v>148</v>
      </c>
      <c r="X27" s="49"/>
      <c r="Y27" s="49">
        <v>8288</v>
      </c>
      <c r="Z27" s="49"/>
      <c r="AA27" s="49">
        <v>1</v>
      </c>
      <c r="AB27" s="49"/>
      <c r="AC27" s="49">
        <v>1600</v>
      </c>
      <c r="AD27" s="49"/>
      <c r="AE27" s="49">
        <v>172800</v>
      </c>
      <c r="AF27" s="49"/>
      <c r="AG27" s="49">
        <v>1</v>
      </c>
      <c r="AH27" s="664"/>
      <c r="AI27" s="49">
        <v>23</v>
      </c>
      <c r="AJ27" s="664"/>
      <c r="AK27" s="49">
        <v>2944</v>
      </c>
      <c r="AL27" s="664"/>
      <c r="AM27" s="547">
        <v>1</v>
      </c>
      <c r="AN27" s="664"/>
      <c r="AO27" s="547">
        <v>256</v>
      </c>
      <c r="AP27" s="664"/>
      <c r="AQ27" s="547">
        <v>6144</v>
      </c>
      <c r="AR27" s="204"/>
      <c r="AS27" s="547">
        <v>0</v>
      </c>
      <c r="AT27" s="664"/>
      <c r="AU27" s="547">
        <v>0</v>
      </c>
      <c r="AV27" s="664"/>
      <c r="AW27" s="547">
        <v>38584</v>
      </c>
      <c r="AX27" s="204"/>
    </row>
    <row r="28" spans="2:50" s="53" customFormat="1" ht="34.5" customHeight="1" x14ac:dyDescent="0.2">
      <c r="B28" s="499" t="s">
        <v>26</v>
      </c>
      <c r="C28" s="49">
        <v>5</v>
      </c>
      <c r="D28" s="49"/>
      <c r="E28" s="49">
        <v>3098</v>
      </c>
      <c r="F28" s="49"/>
      <c r="G28" s="49">
        <v>35252</v>
      </c>
      <c r="H28" s="49"/>
      <c r="I28" s="49">
        <v>0</v>
      </c>
      <c r="J28" s="49"/>
      <c r="K28" s="49">
        <v>0</v>
      </c>
      <c r="L28" s="49"/>
      <c r="M28" s="49">
        <v>0</v>
      </c>
      <c r="N28" s="49"/>
      <c r="O28" s="49">
        <v>2</v>
      </c>
      <c r="P28" s="49"/>
      <c r="Q28" s="49">
        <v>1270</v>
      </c>
      <c r="R28" s="49"/>
      <c r="S28" s="49">
        <v>20320</v>
      </c>
      <c r="T28" s="49"/>
      <c r="U28" s="49">
        <v>0</v>
      </c>
      <c r="V28" s="49"/>
      <c r="W28" s="49">
        <v>0</v>
      </c>
      <c r="X28" s="49"/>
      <c r="Y28" s="49">
        <v>0</v>
      </c>
      <c r="Z28" s="49"/>
      <c r="AA28" s="49">
        <v>0</v>
      </c>
      <c r="AB28" s="49"/>
      <c r="AC28" s="49">
        <v>0</v>
      </c>
      <c r="AD28" s="49"/>
      <c r="AE28" s="49">
        <v>230400</v>
      </c>
      <c r="AF28" s="49"/>
      <c r="AG28" s="665">
        <v>0</v>
      </c>
      <c r="AH28" s="49"/>
      <c r="AI28" s="49">
        <v>0</v>
      </c>
      <c r="AJ28" s="49"/>
      <c r="AK28" s="49">
        <v>4416</v>
      </c>
      <c r="AL28" s="58" t="s">
        <v>62</v>
      </c>
      <c r="AM28" s="547">
        <v>2</v>
      </c>
      <c r="AN28" s="49"/>
      <c r="AO28" s="547">
        <v>5200</v>
      </c>
      <c r="AP28" s="49"/>
      <c r="AQ28" s="547">
        <v>43200</v>
      </c>
      <c r="AR28" s="176"/>
      <c r="AS28" s="547">
        <v>1</v>
      </c>
      <c r="AT28" s="49"/>
      <c r="AU28" s="547">
        <v>30</v>
      </c>
      <c r="AV28" s="49"/>
      <c r="AW28" s="547">
        <v>16064</v>
      </c>
      <c r="AX28" s="176"/>
    </row>
    <row r="29" spans="2:50" s="53" customFormat="1" ht="35.1" customHeight="1" x14ac:dyDescent="0.2">
      <c r="B29" s="499" t="s">
        <v>27</v>
      </c>
      <c r="C29" s="49">
        <v>3</v>
      </c>
      <c r="D29" s="49"/>
      <c r="E29" s="49">
        <v>977</v>
      </c>
      <c r="F29" s="49"/>
      <c r="G29" s="49">
        <v>20024</v>
      </c>
      <c r="H29" s="49"/>
      <c r="I29" s="49">
        <v>1</v>
      </c>
      <c r="J29" s="49"/>
      <c r="K29" s="49">
        <v>200</v>
      </c>
      <c r="L29" s="49"/>
      <c r="M29" s="49">
        <v>1600</v>
      </c>
      <c r="N29" s="49"/>
      <c r="O29" s="49">
        <v>2</v>
      </c>
      <c r="P29" s="49"/>
      <c r="Q29" s="49">
        <v>3271</v>
      </c>
      <c r="R29" s="49"/>
      <c r="S29" s="49">
        <v>26168</v>
      </c>
      <c r="T29" s="49"/>
      <c r="U29" s="49">
        <v>2</v>
      </c>
      <c r="V29" s="49"/>
      <c r="W29" s="49">
        <v>95276</v>
      </c>
      <c r="X29" s="49"/>
      <c r="Y29" s="49">
        <v>766624</v>
      </c>
      <c r="Z29" s="49"/>
      <c r="AA29" s="49">
        <v>1</v>
      </c>
      <c r="AB29" s="49"/>
      <c r="AC29" s="49">
        <v>39</v>
      </c>
      <c r="AD29" s="49"/>
      <c r="AE29" s="49">
        <v>126048</v>
      </c>
      <c r="AF29" s="49"/>
      <c r="AG29" s="49">
        <v>1</v>
      </c>
      <c r="AH29" s="49"/>
      <c r="AI29" s="49">
        <v>23</v>
      </c>
      <c r="AJ29" s="49"/>
      <c r="AK29" s="49">
        <f>2392+2208</f>
        <v>4600</v>
      </c>
      <c r="AL29" s="49"/>
      <c r="AM29" s="547">
        <v>1</v>
      </c>
      <c r="AN29" s="49"/>
      <c r="AO29" s="547">
        <v>157</v>
      </c>
      <c r="AP29" s="49"/>
      <c r="AQ29" s="547">
        <v>1256</v>
      </c>
      <c r="AR29" s="204"/>
      <c r="AS29" s="547">
        <v>1</v>
      </c>
      <c r="AT29" s="49"/>
      <c r="AU29" s="547">
        <v>30</v>
      </c>
      <c r="AV29" s="49"/>
      <c r="AW29" s="547">
        <v>17088</v>
      </c>
      <c r="AX29" s="204"/>
    </row>
    <row r="30" spans="2:50" s="53" customFormat="1" ht="35.1" customHeight="1" x14ac:dyDescent="0.2">
      <c r="B30" s="499" t="s">
        <v>28</v>
      </c>
      <c r="C30" s="663">
        <v>3</v>
      </c>
      <c r="D30" s="663"/>
      <c r="E30" s="49">
        <v>421</v>
      </c>
      <c r="F30" s="49"/>
      <c r="G30" s="49">
        <v>11992</v>
      </c>
      <c r="H30" s="49"/>
      <c r="I30" s="49">
        <v>0</v>
      </c>
      <c r="J30" s="49"/>
      <c r="K30" s="49">
        <v>0</v>
      </c>
      <c r="L30" s="49"/>
      <c r="M30" s="49">
        <v>0</v>
      </c>
      <c r="N30" s="49"/>
      <c r="O30" s="49">
        <v>0</v>
      </c>
      <c r="P30" s="49"/>
      <c r="Q30" s="49">
        <v>0</v>
      </c>
      <c r="R30" s="49"/>
      <c r="S30" s="49">
        <v>0</v>
      </c>
      <c r="T30" s="49"/>
      <c r="U30" s="49">
        <v>2</v>
      </c>
      <c r="V30" s="49"/>
      <c r="W30" s="49">
        <v>95115</v>
      </c>
      <c r="X30" s="49"/>
      <c r="Y30" s="49">
        <v>1521840</v>
      </c>
      <c r="Z30" s="49"/>
      <c r="AA30" s="49">
        <v>4</v>
      </c>
      <c r="AB30" s="49"/>
      <c r="AC30" s="49">
        <v>2684</v>
      </c>
      <c r="AD30" s="49"/>
      <c r="AE30" s="49">
        <v>110416</v>
      </c>
      <c r="AF30" s="49"/>
      <c r="AG30" s="49">
        <v>3</v>
      </c>
      <c r="AH30" s="49"/>
      <c r="AI30" s="49">
        <v>2018</v>
      </c>
      <c r="AJ30" s="49"/>
      <c r="AK30" s="49">
        <v>70832</v>
      </c>
      <c r="AL30" s="49"/>
      <c r="AM30" s="547">
        <v>1</v>
      </c>
      <c r="AN30" s="49"/>
      <c r="AO30" s="547">
        <v>230</v>
      </c>
      <c r="AP30" s="49"/>
      <c r="AQ30" s="547">
        <v>3680</v>
      </c>
      <c r="AR30" s="176"/>
      <c r="AS30" s="547">
        <v>1</v>
      </c>
      <c r="AT30" s="49"/>
      <c r="AU30" s="547">
        <v>42</v>
      </c>
      <c r="AV30" s="49"/>
      <c r="AW30" s="547">
        <v>16848</v>
      </c>
      <c r="AX30" s="176"/>
    </row>
    <row r="31" spans="2:50" s="53" customFormat="1" ht="35.1" customHeight="1" x14ac:dyDescent="0.2">
      <c r="B31" s="499" t="s">
        <v>29</v>
      </c>
      <c r="C31" s="49">
        <v>5</v>
      </c>
      <c r="D31" s="49"/>
      <c r="E31" s="49">
        <v>667</v>
      </c>
      <c r="F31" s="49"/>
      <c r="G31" s="49">
        <v>37344</v>
      </c>
      <c r="H31" s="49"/>
      <c r="I31" s="49">
        <v>1</v>
      </c>
      <c r="J31" s="49"/>
      <c r="K31" s="49">
        <v>4000</v>
      </c>
      <c r="L31" s="49"/>
      <c r="M31" s="49">
        <v>64000</v>
      </c>
      <c r="N31" s="49"/>
      <c r="O31" s="49">
        <v>0</v>
      </c>
      <c r="P31" s="49"/>
      <c r="Q31" s="49">
        <v>0</v>
      </c>
      <c r="R31" s="49"/>
      <c r="S31" s="49">
        <v>0</v>
      </c>
      <c r="T31" s="49"/>
      <c r="U31" s="49">
        <v>2</v>
      </c>
      <c r="V31" s="49"/>
      <c r="W31" s="49">
        <v>689</v>
      </c>
      <c r="X31" s="49"/>
      <c r="Y31" s="49">
        <v>7912</v>
      </c>
      <c r="Z31" s="49"/>
      <c r="AA31" s="49">
        <v>2</v>
      </c>
      <c r="AB31" s="49"/>
      <c r="AC31" s="49">
        <v>117</v>
      </c>
      <c r="AD31" s="49"/>
      <c r="AE31" s="49">
        <v>238232</v>
      </c>
      <c r="AF31" s="49"/>
      <c r="AG31" s="49">
        <v>4</v>
      </c>
      <c r="AH31" s="49"/>
      <c r="AI31" s="49">
        <v>28167</v>
      </c>
      <c r="AJ31" s="49"/>
      <c r="AK31" s="49">
        <v>226672</v>
      </c>
      <c r="AL31" s="49"/>
      <c r="AM31" s="547">
        <v>5</v>
      </c>
      <c r="AN31" s="49"/>
      <c r="AO31" s="547">
        <v>6580</v>
      </c>
      <c r="AP31" s="49"/>
      <c r="AQ31" s="547">
        <v>26320</v>
      </c>
      <c r="AR31" s="204"/>
      <c r="AS31" s="547">
        <v>1</v>
      </c>
      <c r="AT31" s="49"/>
      <c r="AU31" s="547">
        <v>19</v>
      </c>
      <c r="AV31" s="49"/>
      <c r="AW31" s="547">
        <v>11640</v>
      </c>
      <c r="AX31" s="204"/>
    </row>
    <row r="32" spans="2:50" s="53" customFormat="1" ht="35.1" customHeight="1" x14ac:dyDescent="0.2">
      <c r="B32" s="499" t="s">
        <v>30</v>
      </c>
      <c r="C32" s="350">
        <v>1</v>
      </c>
      <c r="D32" s="350"/>
      <c r="E32" s="49">
        <v>149</v>
      </c>
      <c r="F32" s="49"/>
      <c r="G32" s="49">
        <v>25384</v>
      </c>
      <c r="H32" s="49"/>
      <c r="I32" s="49">
        <v>3</v>
      </c>
      <c r="J32" s="49"/>
      <c r="K32" s="49">
        <v>48541</v>
      </c>
      <c r="L32" s="49"/>
      <c r="M32" s="49">
        <v>292328</v>
      </c>
      <c r="N32" s="49"/>
      <c r="O32" s="49">
        <v>0</v>
      </c>
      <c r="P32" s="49"/>
      <c r="Q32" s="49">
        <v>0</v>
      </c>
      <c r="R32" s="49"/>
      <c r="S32" s="49">
        <v>0</v>
      </c>
      <c r="T32" s="49"/>
      <c r="U32" s="49">
        <v>0</v>
      </c>
      <c r="V32" s="49"/>
      <c r="W32" s="49">
        <v>0</v>
      </c>
      <c r="X32" s="49"/>
      <c r="Y32" s="49">
        <v>0</v>
      </c>
      <c r="Z32" s="49"/>
      <c r="AA32" s="49">
        <v>1</v>
      </c>
      <c r="AB32" s="49"/>
      <c r="AC32" s="49">
        <v>118</v>
      </c>
      <c r="AD32" s="49"/>
      <c r="AE32" s="49">
        <v>21576</v>
      </c>
      <c r="AF32" s="49"/>
      <c r="AG32" s="49">
        <v>2</v>
      </c>
      <c r="AH32" s="49"/>
      <c r="AI32" s="49">
        <v>840</v>
      </c>
      <c r="AJ32" s="49"/>
      <c r="AK32" s="49">
        <v>71840</v>
      </c>
      <c r="AL32" s="49"/>
      <c r="AM32" s="547">
        <v>1</v>
      </c>
      <c r="AN32" s="49"/>
      <c r="AO32" s="547">
        <v>1517</v>
      </c>
      <c r="AP32" s="49"/>
      <c r="AQ32" s="547">
        <v>60680</v>
      </c>
      <c r="AR32" s="176"/>
      <c r="AS32" s="547">
        <v>2</v>
      </c>
      <c r="AT32" s="49"/>
      <c r="AU32" s="547">
        <v>410</v>
      </c>
      <c r="AV32" s="49"/>
      <c r="AW32" s="547">
        <v>16592</v>
      </c>
      <c r="AX32" s="176"/>
    </row>
    <row r="33" spans="2:50" s="53" customFormat="1" ht="35.1" customHeight="1" x14ac:dyDescent="0.2">
      <c r="B33" s="499" t="s">
        <v>164</v>
      </c>
      <c r="C33" s="350">
        <v>1</v>
      </c>
      <c r="D33" s="350"/>
      <c r="E33" s="49">
        <v>507</v>
      </c>
      <c r="F33" s="49"/>
      <c r="G33" s="49">
        <v>3042</v>
      </c>
      <c r="H33" s="49"/>
      <c r="I33" s="49">
        <v>4</v>
      </c>
      <c r="J33" s="49"/>
      <c r="K33" s="49">
        <v>9752</v>
      </c>
      <c r="L33" s="49"/>
      <c r="M33" s="49">
        <v>160984</v>
      </c>
      <c r="N33" s="49"/>
      <c r="O33" s="49">
        <v>0</v>
      </c>
      <c r="P33" s="49"/>
      <c r="Q33" s="49">
        <v>0</v>
      </c>
      <c r="R33" s="49"/>
      <c r="S33" s="49">
        <v>0</v>
      </c>
      <c r="T33" s="49"/>
      <c r="U33" s="49">
        <v>0</v>
      </c>
      <c r="V33" s="49"/>
      <c r="W33" s="49">
        <v>0</v>
      </c>
      <c r="X33" s="49"/>
      <c r="Y33" s="49">
        <v>0</v>
      </c>
      <c r="Z33" s="49"/>
      <c r="AA33" s="49">
        <v>1</v>
      </c>
      <c r="AB33" s="49"/>
      <c r="AC33" s="49">
        <v>680</v>
      </c>
      <c r="AD33" s="49"/>
      <c r="AE33" s="49">
        <v>12560</v>
      </c>
      <c r="AF33" s="49"/>
      <c r="AG33" s="49">
        <v>5</v>
      </c>
      <c r="AH33" s="49"/>
      <c r="AI33" s="49">
        <v>5737</v>
      </c>
      <c r="AJ33" s="49"/>
      <c r="AK33" s="49">
        <v>290888</v>
      </c>
      <c r="AL33" s="49"/>
      <c r="AM33" s="547">
        <v>3</v>
      </c>
      <c r="AN33" s="49"/>
      <c r="AO33" s="547">
        <v>1105</v>
      </c>
      <c r="AP33" s="49"/>
      <c r="AQ33" s="547">
        <v>54088</v>
      </c>
      <c r="AR33" s="176"/>
      <c r="AS33" s="547">
        <v>2</v>
      </c>
      <c r="AT33" s="49"/>
      <c r="AU33" s="547">
        <v>3970</v>
      </c>
      <c r="AV33" s="49"/>
      <c r="AW33" s="547">
        <v>99952</v>
      </c>
      <c r="AX33" s="176"/>
    </row>
    <row r="34" spans="2:50" s="53" customFormat="1" ht="35.1" customHeight="1" x14ac:dyDescent="0.2">
      <c r="B34" s="499" t="s">
        <v>32</v>
      </c>
      <c r="C34" s="663">
        <v>3</v>
      </c>
      <c r="D34" s="663"/>
      <c r="E34" s="49">
        <v>2678</v>
      </c>
      <c r="F34" s="49"/>
      <c r="G34" s="49">
        <v>16068</v>
      </c>
      <c r="H34" s="49"/>
      <c r="I34" s="890" t="s">
        <v>214</v>
      </c>
      <c r="J34" s="890"/>
      <c r="K34" s="890"/>
      <c r="L34" s="49"/>
      <c r="M34" s="49">
        <v>0</v>
      </c>
      <c r="N34" s="49"/>
      <c r="O34" s="49">
        <v>0</v>
      </c>
      <c r="P34" s="49"/>
      <c r="Q34" s="49">
        <v>0</v>
      </c>
      <c r="R34" s="49"/>
      <c r="S34" s="49">
        <v>0</v>
      </c>
      <c r="T34" s="49"/>
      <c r="U34" s="49">
        <v>1</v>
      </c>
      <c r="V34" s="49"/>
      <c r="W34" s="49">
        <v>650</v>
      </c>
      <c r="X34" s="49"/>
      <c r="Y34" s="49">
        <v>31200</v>
      </c>
      <c r="Z34" s="49"/>
      <c r="AA34" s="49">
        <v>5</v>
      </c>
      <c r="AB34" s="49"/>
      <c r="AC34" s="49">
        <v>9993</v>
      </c>
      <c r="AD34" s="49"/>
      <c r="AE34" s="49">
        <v>541600</v>
      </c>
      <c r="AF34" s="49"/>
      <c r="AG34" s="49">
        <v>3</v>
      </c>
      <c r="AH34" s="49"/>
      <c r="AI34" s="49">
        <v>10774</v>
      </c>
      <c r="AJ34" s="49"/>
      <c r="AK34" s="49">
        <v>98144</v>
      </c>
      <c r="AL34" s="49"/>
      <c r="AM34" s="547">
        <v>8</v>
      </c>
      <c r="AN34" s="49"/>
      <c r="AO34" s="547">
        <v>18746</v>
      </c>
      <c r="AP34" s="49"/>
      <c r="AQ34" s="547">
        <v>760240</v>
      </c>
      <c r="AR34" s="176"/>
      <c r="AS34" s="547">
        <v>2</v>
      </c>
      <c r="AT34" s="49"/>
      <c r="AU34" s="547">
        <v>1771</v>
      </c>
      <c r="AV34" s="49"/>
      <c r="AW34" s="547">
        <v>151816</v>
      </c>
      <c r="AX34" s="176"/>
    </row>
    <row r="35" spans="2:50" s="53" customFormat="1" ht="35.1" customHeight="1" x14ac:dyDescent="0.2">
      <c r="B35" s="499" t="s">
        <v>33</v>
      </c>
      <c r="C35" s="663">
        <v>2</v>
      </c>
      <c r="D35" s="663"/>
      <c r="E35" s="49">
        <v>109</v>
      </c>
      <c r="F35" s="49"/>
      <c r="G35" s="49">
        <v>872</v>
      </c>
      <c r="H35" s="49"/>
      <c r="I35" s="49">
        <v>5</v>
      </c>
      <c r="J35" s="49"/>
      <c r="K35" s="49">
        <v>4370</v>
      </c>
      <c r="L35" s="49"/>
      <c r="M35" s="49">
        <v>119536</v>
      </c>
      <c r="N35" s="49"/>
      <c r="O35" s="49">
        <v>1</v>
      </c>
      <c r="P35" s="49"/>
      <c r="Q35" s="49">
        <v>599</v>
      </c>
      <c r="R35" s="49"/>
      <c r="S35" s="49">
        <v>4792</v>
      </c>
      <c r="T35" s="49"/>
      <c r="U35" s="49">
        <v>1</v>
      </c>
      <c r="V35" s="49"/>
      <c r="W35" s="49">
        <v>75</v>
      </c>
      <c r="X35" s="49"/>
      <c r="Y35" s="49">
        <v>93600</v>
      </c>
      <c r="Z35" s="49"/>
      <c r="AA35" s="49">
        <v>1</v>
      </c>
      <c r="AB35" s="49"/>
      <c r="AC35" s="49">
        <v>1133</v>
      </c>
      <c r="AD35" s="49"/>
      <c r="AE35" s="49">
        <v>95944</v>
      </c>
      <c r="AF35" s="49"/>
      <c r="AG35" s="49">
        <v>7</v>
      </c>
      <c r="AH35" s="49"/>
      <c r="AI35" s="49">
        <v>19504</v>
      </c>
      <c r="AJ35" s="49"/>
      <c r="AK35" s="49">
        <v>393432</v>
      </c>
      <c r="AL35" s="49"/>
      <c r="AM35" s="547">
        <v>1</v>
      </c>
      <c r="AN35" s="49"/>
      <c r="AO35" s="547">
        <v>80</v>
      </c>
      <c r="AP35" s="49"/>
      <c r="AQ35" s="547">
        <v>337920</v>
      </c>
      <c r="AR35" s="176"/>
      <c r="AS35" s="547">
        <v>11</v>
      </c>
      <c r="AT35" s="49"/>
      <c r="AU35" s="547">
        <v>18268</v>
      </c>
      <c r="AV35" s="49"/>
      <c r="AW35" s="547">
        <v>1365682</v>
      </c>
      <c r="AX35" s="176"/>
    </row>
    <row r="36" spans="2:50" s="53" customFormat="1" ht="35.1" customHeight="1" x14ac:dyDescent="0.2">
      <c r="B36" s="499" t="s">
        <v>34</v>
      </c>
      <c r="C36" s="350">
        <v>1</v>
      </c>
      <c r="D36" s="350"/>
      <c r="E36" s="49">
        <v>98</v>
      </c>
      <c r="F36" s="49"/>
      <c r="G36" s="49">
        <v>784</v>
      </c>
      <c r="H36" s="49"/>
      <c r="I36" s="49">
        <v>4</v>
      </c>
      <c r="J36" s="49"/>
      <c r="K36" s="49">
        <v>13945</v>
      </c>
      <c r="L36" s="49"/>
      <c r="M36" s="49">
        <v>240240</v>
      </c>
      <c r="N36" s="49"/>
      <c r="O36" s="49">
        <v>1</v>
      </c>
      <c r="P36" s="49"/>
      <c r="Q36" s="49">
        <v>95000</v>
      </c>
      <c r="R36" s="49"/>
      <c r="S36" s="49">
        <v>3044792</v>
      </c>
      <c r="T36" s="49"/>
      <c r="U36" s="49">
        <v>3</v>
      </c>
      <c r="V36" s="49"/>
      <c r="W36" s="49">
        <v>898</v>
      </c>
      <c r="X36" s="49"/>
      <c r="Y36" s="49">
        <v>19064</v>
      </c>
      <c r="Z36" s="49"/>
      <c r="AA36" s="49">
        <v>2</v>
      </c>
      <c r="AB36" s="49"/>
      <c r="AC36" s="49">
        <v>5080</v>
      </c>
      <c r="AD36" s="49"/>
      <c r="AE36" s="49">
        <v>60960</v>
      </c>
      <c r="AF36" s="49"/>
      <c r="AG36" s="49">
        <v>5</v>
      </c>
      <c r="AH36" s="49"/>
      <c r="AI36" s="49">
        <v>3776</v>
      </c>
      <c r="AJ36" s="49"/>
      <c r="AK36" s="49">
        <v>60440</v>
      </c>
      <c r="AL36" s="49"/>
      <c r="AM36" s="547">
        <v>4</v>
      </c>
      <c r="AN36" s="49"/>
      <c r="AO36" s="547">
        <v>8525</v>
      </c>
      <c r="AP36" s="49"/>
      <c r="AQ36" s="547">
        <v>115040</v>
      </c>
      <c r="AR36" s="29"/>
      <c r="AS36" s="547">
        <v>2</v>
      </c>
      <c r="AT36" s="49"/>
      <c r="AU36" s="547">
        <v>8620</v>
      </c>
      <c r="AV36" s="49"/>
      <c r="AW36" s="547">
        <v>137920</v>
      </c>
      <c r="AX36" s="29"/>
    </row>
    <row r="37" spans="2:50" s="53" customFormat="1" ht="35.1" customHeight="1" x14ac:dyDescent="0.2">
      <c r="B37" s="499" t="s">
        <v>35</v>
      </c>
      <c r="C37" s="350">
        <v>1</v>
      </c>
      <c r="D37" s="350"/>
      <c r="E37" s="49">
        <v>220</v>
      </c>
      <c r="F37" s="49"/>
      <c r="G37" s="49">
        <v>17600</v>
      </c>
      <c r="H37" s="49"/>
      <c r="I37" s="49">
        <v>7</v>
      </c>
      <c r="J37" s="49"/>
      <c r="K37" s="49">
        <v>8857</v>
      </c>
      <c r="L37" s="49"/>
      <c r="M37" s="49">
        <v>374680</v>
      </c>
      <c r="N37" s="49"/>
      <c r="O37" s="890" t="s">
        <v>214</v>
      </c>
      <c r="P37" s="890"/>
      <c r="Q37" s="890"/>
      <c r="R37" s="49"/>
      <c r="S37" s="49">
        <v>0</v>
      </c>
      <c r="T37" s="49"/>
      <c r="U37" s="49">
        <v>3</v>
      </c>
      <c r="V37" s="49"/>
      <c r="W37" s="49">
        <v>4944</v>
      </c>
      <c r="X37" s="49"/>
      <c r="Y37" s="49">
        <v>105232</v>
      </c>
      <c r="Z37" s="49"/>
      <c r="AA37" s="49">
        <v>6</v>
      </c>
      <c r="AB37" s="49"/>
      <c r="AC37" s="49">
        <v>2166</v>
      </c>
      <c r="AD37" s="49"/>
      <c r="AE37" s="49">
        <v>93776</v>
      </c>
      <c r="AF37" s="49"/>
      <c r="AG37" s="49">
        <v>4</v>
      </c>
      <c r="AH37" s="49"/>
      <c r="AI37" s="49">
        <v>1889</v>
      </c>
      <c r="AJ37" s="49"/>
      <c r="AK37" s="49">
        <v>61920</v>
      </c>
      <c r="AL37" s="49"/>
      <c r="AM37" s="547">
        <v>13</v>
      </c>
      <c r="AN37" s="49"/>
      <c r="AO37" s="547">
        <v>30029</v>
      </c>
      <c r="AP37" s="49"/>
      <c r="AQ37" s="547">
        <v>466964</v>
      </c>
      <c r="AR37" s="29"/>
      <c r="AS37" s="547">
        <v>4</v>
      </c>
      <c r="AT37" s="49"/>
      <c r="AU37" s="547">
        <v>36640</v>
      </c>
      <c r="AV37" s="49"/>
      <c r="AW37" s="547">
        <v>4697600</v>
      </c>
      <c r="AX37" s="29"/>
    </row>
    <row r="38" spans="2:50" s="53" customFormat="1" ht="35.1" customHeight="1" x14ac:dyDescent="0.2">
      <c r="B38" s="499" t="s">
        <v>146</v>
      </c>
      <c r="C38" s="49">
        <v>0</v>
      </c>
      <c r="D38" s="49"/>
      <c r="E38" s="49">
        <v>0</v>
      </c>
      <c r="F38" s="49"/>
      <c r="G38" s="49">
        <v>8800</v>
      </c>
      <c r="H38" s="58" t="s">
        <v>62</v>
      </c>
      <c r="I38" s="49">
        <v>2</v>
      </c>
      <c r="J38" s="49"/>
      <c r="K38" s="49">
        <v>650</v>
      </c>
      <c r="L38" s="49"/>
      <c r="M38" s="49">
        <v>8800</v>
      </c>
      <c r="N38" s="58"/>
      <c r="O38" s="49">
        <v>3</v>
      </c>
      <c r="P38" s="49"/>
      <c r="Q38" s="49">
        <v>932</v>
      </c>
      <c r="R38" s="49"/>
      <c r="S38" s="49">
        <v>9312</v>
      </c>
      <c r="T38" s="58"/>
      <c r="U38" s="49">
        <v>3</v>
      </c>
      <c r="V38" s="49"/>
      <c r="W38" s="49">
        <v>5538</v>
      </c>
      <c r="X38" s="49"/>
      <c r="Y38" s="49">
        <v>40528</v>
      </c>
      <c r="Z38" s="58"/>
      <c r="AA38" s="49">
        <v>2</v>
      </c>
      <c r="AB38" s="49"/>
      <c r="AC38" s="49">
        <v>672</v>
      </c>
      <c r="AD38" s="49"/>
      <c r="AE38" s="49">
        <v>54584</v>
      </c>
      <c r="AF38" s="58"/>
      <c r="AG38" s="49">
        <v>3</v>
      </c>
      <c r="AI38" s="49">
        <v>1569</v>
      </c>
      <c r="AK38" s="49">
        <v>25544</v>
      </c>
      <c r="AM38" s="547">
        <v>2</v>
      </c>
      <c r="AO38" s="547">
        <v>130</v>
      </c>
      <c r="AQ38" s="547">
        <v>282488</v>
      </c>
      <c r="AR38" s="204"/>
      <c r="AS38" s="547">
        <v>1</v>
      </c>
      <c r="AU38" s="547">
        <v>890</v>
      </c>
      <c r="AW38" s="547">
        <v>1024640</v>
      </c>
      <c r="AX38" s="204"/>
    </row>
    <row r="39" spans="2:50" s="53" customFormat="1" ht="8.25" customHeight="1" x14ac:dyDescent="0.2">
      <c r="B39" s="49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666"/>
      <c r="AH39" s="666"/>
      <c r="AI39" s="666"/>
      <c r="AJ39" s="666"/>
      <c r="AK39" s="666"/>
      <c r="AL39" s="666"/>
      <c r="AM39" s="666"/>
      <c r="AN39" s="666"/>
      <c r="AO39" s="666"/>
      <c r="AP39" s="666"/>
      <c r="AQ39" s="666"/>
      <c r="AR39" s="176"/>
      <c r="AS39" s="666"/>
      <c r="AT39" s="666"/>
      <c r="AU39" s="666"/>
      <c r="AV39" s="666"/>
      <c r="AW39" s="666"/>
      <c r="AX39" s="176"/>
    </row>
    <row r="40" spans="2:50" s="201" customFormat="1" ht="44.25" customHeight="1" x14ac:dyDescent="0.2">
      <c r="B40" s="498" t="s">
        <v>6</v>
      </c>
      <c r="C40" s="390">
        <f>SUM(C27:C38)</f>
        <v>25</v>
      </c>
      <c r="D40" s="390"/>
      <c r="E40" s="390">
        <f>SUM(E27:E38)</f>
        <v>8924</v>
      </c>
      <c r="F40" s="390"/>
      <c r="G40" s="390">
        <f>SUM(G27:G38)</f>
        <v>177162</v>
      </c>
      <c r="H40" s="390"/>
      <c r="I40" s="390">
        <f>SUM(I27:I38)</f>
        <v>27</v>
      </c>
      <c r="J40" s="390"/>
      <c r="K40" s="390">
        <f>SUM(K27:K38)</f>
        <v>90315</v>
      </c>
      <c r="L40" s="390"/>
      <c r="M40" s="390">
        <f>SUM(M27:M38)</f>
        <v>1262168</v>
      </c>
      <c r="N40" s="390"/>
      <c r="O40" s="390">
        <f>SUM(O27:O38)</f>
        <v>12</v>
      </c>
      <c r="P40" s="390"/>
      <c r="Q40" s="390">
        <f>SUM(Q27:Q38)</f>
        <v>123545</v>
      </c>
      <c r="R40" s="390"/>
      <c r="S40" s="390">
        <f>SUM(S27:S38)</f>
        <v>3457176</v>
      </c>
      <c r="T40" s="390"/>
      <c r="U40" s="390">
        <f>SUM(U27:U38)</f>
        <v>18</v>
      </c>
      <c r="V40" s="390"/>
      <c r="W40" s="390">
        <f>SUM(W27:W38)</f>
        <v>203333</v>
      </c>
      <c r="X40" s="390"/>
      <c r="Y40" s="390">
        <f>SUM(Y27:Y38)</f>
        <v>2594288</v>
      </c>
      <c r="Z40" s="390"/>
      <c r="AA40" s="390">
        <f>SUM(AA27:AA38)</f>
        <v>26</v>
      </c>
      <c r="AB40" s="390"/>
      <c r="AC40" s="390">
        <f>SUM(AC27:AC38)</f>
        <v>24282</v>
      </c>
      <c r="AD40" s="390"/>
      <c r="AE40" s="390">
        <f>SUM(AE27:AE38)</f>
        <v>1758896</v>
      </c>
      <c r="AF40" s="390"/>
      <c r="AG40" s="390">
        <f>SUM(AG27:AG38)</f>
        <v>38</v>
      </c>
      <c r="AH40" s="390"/>
      <c r="AI40" s="390">
        <f>SUM(AI27:AI38)</f>
        <v>74320</v>
      </c>
      <c r="AJ40" s="390"/>
      <c r="AK40" s="390">
        <f>SUM(AK27:AK38)</f>
        <v>1311672</v>
      </c>
      <c r="AL40" s="390"/>
      <c r="AM40" s="390">
        <f>SUM(AM27:AM38)</f>
        <v>42</v>
      </c>
      <c r="AN40" s="390"/>
      <c r="AO40" s="390">
        <f>SUM(AO27:AO38)</f>
        <v>72555</v>
      </c>
      <c r="AP40" s="390"/>
      <c r="AQ40" s="390">
        <f>SUM(AQ27:AQ38)</f>
        <v>2158020</v>
      </c>
      <c r="AR40" s="390"/>
      <c r="AS40" s="390">
        <f>SUM(AS27:AS38)</f>
        <v>28</v>
      </c>
      <c r="AT40" s="390"/>
      <c r="AU40" s="390">
        <f>SUM(AU27:AU38)</f>
        <v>70690</v>
      </c>
      <c r="AV40" s="390"/>
      <c r="AW40" s="390">
        <f>SUM(AW27:AW38)</f>
        <v>7594426</v>
      </c>
      <c r="AX40" s="390"/>
    </row>
    <row r="41" spans="2:50" s="1" customFormat="1" ht="45" customHeight="1" x14ac:dyDescent="0.2">
      <c r="B41" s="5" t="s">
        <v>217</v>
      </c>
      <c r="C41" s="6"/>
      <c r="D41" s="6"/>
      <c r="E41" s="6"/>
      <c r="F41" s="6"/>
      <c r="G41" s="7"/>
      <c r="H41" s="6"/>
      <c r="I41" s="6"/>
      <c r="Y41" s="8"/>
      <c r="Z41" s="4"/>
      <c r="AA41" s="8"/>
      <c r="AB41" s="9"/>
      <c r="AC41" s="8"/>
      <c r="AD41" s="9"/>
    </row>
    <row r="42" spans="2:50" s="1" customFormat="1" ht="30" customHeight="1" x14ac:dyDescent="0.2">
      <c r="B42" s="10" t="s">
        <v>257</v>
      </c>
      <c r="C42" s="11"/>
      <c r="D42" s="11"/>
      <c r="E42" s="11"/>
      <c r="F42" s="11"/>
      <c r="G42" s="11"/>
      <c r="H42" s="12"/>
      <c r="I42" s="12"/>
      <c r="J42" s="12"/>
      <c r="K42" s="12"/>
      <c r="Z42" s="13"/>
      <c r="AA42" s="14"/>
      <c r="AB42" s="13"/>
      <c r="AC42" s="14"/>
      <c r="AD42" s="15"/>
    </row>
    <row r="43" spans="2:50" s="1" customFormat="1" ht="30" customHeight="1" x14ac:dyDescent="0.2">
      <c r="B43" s="16" t="s">
        <v>245</v>
      </c>
      <c r="D43" s="17"/>
      <c r="E43" s="18"/>
      <c r="F43" s="17"/>
      <c r="G43" s="19"/>
      <c r="H43" s="20"/>
      <c r="I43" s="21"/>
      <c r="J43" s="21"/>
    </row>
    <row r="44" spans="2:50" ht="33" customHeight="1" x14ac:dyDescent="0.2">
      <c r="B44" s="901" t="s">
        <v>345</v>
      </c>
      <c r="C44" s="881"/>
      <c r="D44" s="881"/>
      <c r="E44" s="881"/>
      <c r="F44" s="881"/>
      <c r="G44" s="881"/>
      <c r="H44" s="881"/>
      <c r="I44" s="881"/>
      <c r="J44" s="881"/>
      <c r="K44" s="881"/>
      <c r="L44" s="881"/>
      <c r="M44" s="881"/>
      <c r="N44" s="881"/>
      <c r="O44" s="881"/>
      <c r="P44" s="881"/>
      <c r="Q44" s="881"/>
      <c r="R44" s="881"/>
      <c r="S44" s="881"/>
      <c r="T44" s="881"/>
      <c r="U44" s="881"/>
      <c r="V44" s="881"/>
      <c r="W44" s="881"/>
      <c r="X44" s="205"/>
      <c r="Z44" s="83"/>
      <c r="AA44" s="83"/>
      <c r="AB44" s="83"/>
      <c r="AC44" s="83"/>
      <c r="AD44" s="83"/>
      <c r="AE44" s="83"/>
      <c r="AF44" s="83"/>
      <c r="AG44" s="83"/>
      <c r="AH44" s="83"/>
      <c r="AI44" s="83"/>
      <c r="AJ44" s="83"/>
      <c r="AK44" s="83"/>
      <c r="AL44" s="83"/>
      <c r="AM44" s="83"/>
      <c r="AN44" s="83"/>
      <c r="AO44" s="83"/>
      <c r="AP44" s="83"/>
      <c r="AQ44" s="83"/>
      <c r="AR44" s="83"/>
      <c r="AS44" s="83"/>
      <c r="AT44" s="83"/>
      <c r="AU44" s="83"/>
      <c r="AV44" s="83"/>
    </row>
    <row r="45" spans="2:50" ht="21" customHeight="1" x14ac:dyDescent="0.2">
      <c r="B45" s="206" t="s">
        <v>218</v>
      </c>
    </row>
    <row r="46" spans="2:50" ht="21" customHeight="1" x14ac:dyDescent="0.2">
      <c r="B46" s="206" t="s">
        <v>219</v>
      </c>
    </row>
    <row r="47" spans="2:50" ht="21" customHeight="1" x14ac:dyDescent="0.2">
      <c r="B47" s="206" t="s">
        <v>220</v>
      </c>
    </row>
    <row r="48" spans="2:50" ht="58.9" customHeight="1" x14ac:dyDescent="0.2">
      <c r="B48" s="891" t="s">
        <v>346</v>
      </c>
      <c r="C48" s="891"/>
      <c r="D48" s="891"/>
      <c r="E48" s="891"/>
      <c r="F48" s="891"/>
      <c r="G48" s="891"/>
      <c r="H48" s="891"/>
      <c r="I48" s="891"/>
      <c r="J48" s="891"/>
      <c r="K48" s="891"/>
      <c r="L48" s="891"/>
      <c r="M48" s="891"/>
      <c r="N48" s="891"/>
      <c r="O48" s="891"/>
      <c r="P48" s="891"/>
      <c r="Q48" s="891"/>
      <c r="R48" s="891"/>
      <c r="S48" s="891"/>
      <c r="T48" s="891"/>
      <c r="U48" s="891"/>
      <c r="V48" s="891"/>
      <c r="W48" s="891"/>
      <c r="X48" s="891"/>
      <c r="Y48" s="891"/>
      <c r="Z48" s="891"/>
      <c r="AA48" s="891"/>
      <c r="AB48" s="891"/>
      <c r="AC48" s="891"/>
      <c r="AD48" s="135"/>
      <c r="AE48" s="135"/>
      <c r="AF48" s="135"/>
      <c r="AG48" s="135"/>
      <c r="AH48" s="135"/>
      <c r="AI48" s="135"/>
      <c r="AJ48" s="135"/>
      <c r="AK48" s="135"/>
      <c r="AL48" s="135"/>
      <c r="AM48" s="135"/>
      <c r="AN48" s="135"/>
      <c r="AO48" s="135"/>
      <c r="AP48" s="135"/>
      <c r="AQ48" s="135"/>
      <c r="AR48" s="135"/>
      <c r="AS48" s="135"/>
    </row>
    <row r="59" spans="2:48" ht="33" customHeight="1" x14ac:dyDescent="0.2">
      <c r="B59" s="881"/>
      <c r="C59" s="881"/>
      <c r="D59" s="881"/>
      <c r="E59" s="881"/>
      <c r="F59" s="881"/>
      <c r="G59" s="881"/>
      <c r="H59" s="881"/>
      <c r="I59" s="881"/>
      <c r="J59" s="881"/>
      <c r="K59" s="881"/>
      <c r="L59" s="881"/>
      <c r="M59" s="881"/>
      <c r="N59" s="881"/>
      <c r="O59" s="881"/>
      <c r="P59" s="881"/>
      <c r="Q59" s="881"/>
      <c r="R59" s="881"/>
      <c r="S59" s="881"/>
      <c r="T59" s="881"/>
      <c r="U59" s="881"/>
      <c r="V59" s="881"/>
      <c r="W59" s="881"/>
      <c r="X59" s="205"/>
      <c r="Z59" s="83"/>
      <c r="AA59" s="83"/>
      <c r="AB59" s="83"/>
      <c r="AC59" s="83"/>
      <c r="AD59" s="83"/>
      <c r="AE59" s="83"/>
      <c r="AF59" s="83"/>
      <c r="AG59" s="83"/>
      <c r="AH59" s="83"/>
      <c r="AI59" s="83"/>
      <c r="AJ59" s="83"/>
      <c r="AK59" s="83"/>
      <c r="AL59" s="83"/>
      <c r="AM59" s="83"/>
      <c r="AN59" s="83"/>
      <c r="AO59" s="83"/>
      <c r="AP59" s="83"/>
      <c r="AQ59" s="83"/>
      <c r="AR59" s="83"/>
      <c r="AS59" s="83"/>
      <c r="AT59" s="83"/>
      <c r="AU59" s="83"/>
      <c r="AV59" s="83"/>
    </row>
    <row r="60" spans="2:48" ht="21" customHeight="1" x14ac:dyDescent="0.2">
      <c r="B60" s="206"/>
    </row>
    <row r="61" spans="2:48" ht="21" customHeight="1" x14ac:dyDescent="0.2">
      <c r="B61" s="206"/>
    </row>
    <row r="62" spans="2:48" ht="21" customHeight="1" x14ac:dyDescent="0.2">
      <c r="B62" s="206"/>
    </row>
  </sheetData>
  <mergeCells count="76">
    <mergeCell ref="B44:W44"/>
    <mergeCell ref="AA26:AB26"/>
    <mergeCell ref="M26:N26"/>
    <mergeCell ref="B24:B26"/>
    <mergeCell ref="C25:H25"/>
    <mergeCell ref="I25:N25"/>
    <mergeCell ref="O25:T25"/>
    <mergeCell ref="U25:Z25"/>
    <mergeCell ref="C26:D26"/>
    <mergeCell ref="E26:F26"/>
    <mergeCell ref="G26:H26"/>
    <mergeCell ref="I26:J26"/>
    <mergeCell ref="K26:L26"/>
    <mergeCell ref="I34:K34"/>
    <mergeCell ref="O26:P26"/>
    <mergeCell ref="S26:T26"/>
    <mergeCell ref="Q26:R26"/>
    <mergeCell ref="S8:T8"/>
    <mergeCell ref="U26:V26"/>
    <mergeCell ref="W26:X26"/>
    <mergeCell ref="Y26:Z26"/>
    <mergeCell ref="C24:AX24"/>
    <mergeCell ref="AS25:AX25"/>
    <mergeCell ref="AW26:AX26"/>
    <mergeCell ref="AI26:AJ26"/>
    <mergeCell ref="AK26:AL26"/>
    <mergeCell ref="AM26:AN26"/>
    <mergeCell ref="AO26:AP26"/>
    <mergeCell ref="AQ26:AR26"/>
    <mergeCell ref="AM7:AR7"/>
    <mergeCell ref="AG7:AL7"/>
    <mergeCell ref="AS26:AT26"/>
    <mergeCell ref="AC26:AD26"/>
    <mergeCell ref="AE26:AF26"/>
    <mergeCell ref="AG26:AH26"/>
    <mergeCell ref="AG25:AL25"/>
    <mergeCell ref="AM25:AR25"/>
    <mergeCell ref="AK8:AL8"/>
    <mergeCell ref="AQ8:AR8"/>
    <mergeCell ref="AI8:AJ8"/>
    <mergeCell ref="AS7:AX7"/>
    <mergeCell ref="AG8:AH8"/>
    <mergeCell ref="AU26:AV26"/>
    <mergeCell ref="AA25:AF25"/>
    <mergeCell ref="B2:AX2"/>
    <mergeCell ref="B4:AX4"/>
    <mergeCell ref="B5:AX5"/>
    <mergeCell ref="AA8:AB8"/>
    <mergeCell ref="Q8:R8"/>
    <mergeCell ref="W8:X8"/>
    <mergeCell ref="AE8:AF8"/>
    <mergeCell ref="AO8:AP8"/>
    <mergeCell ref="AU8:AV8"/>
    <mergeCell ref="G8:H8"/>
    <mergeCell ref="Y8:Z8"/>
    <mergeCell ref="AM8:AN8"/>
    <mergeCell ref="AS8:AT8"/>
    <mergeCell ref="U7:Z7"/>
    <mergeCell ref="AA7:AF7"/>
    <mergeCell ref="AW8:AX8"/>
    <mergeCell ref="B59:W59"/>
    <mergeCell ref="B6:B8"/>
    <mergeCell ref="C8:D8"/>
    <mergeCell ref="I8:J8"/>
    <mergeCell ref="O8:P8"/>
    <mergeCell ref="E8:F8"/>
    <mergeCell ref="K8:L8"/>
    <mergeCell ref="U8:V8"/>
    <mergeCell ref="C7:H7"/>
    <mergeCell ref="C6:AX6"/>
    <mergeCell ref="I7:N7"/>
    <mergeCell ref="O7:T7"/>
    <mergeCell ref="AC8:AD8"/>
    <mergeCell ref="O37:Q37"/>
    <mergeCell ref="B48:AC48"/>
    <mergeCell ref="M8:N8"/>
  </mergeCells>
  <printOptions horizontalCentered="1" verticalCentered="1"/>
  <pageMargins left="0" right="0" top="0" bottom="0" header="0" footer="0"/>
  <pageSetup paperSize="9" scale="28" orientation="landscape" r:id="rId1"/>
  <ignoredErrors>
    <ignoredError sqref="C22:D22 I22:J22 O22:P22 U22:V22 AA22:AB22 AG22:AH22 AS22:AT22 AM22:AN22 AU22:AV22 AW22:AX22" formulaRange="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00"/>
  </sheetPr>
  <dimension ref="B1:AS38"/>
  <sheetViews>
    <sheetView showGridLines="0" topLeftCell="A7" zoomScale="85" zoomScaleNormal="85" zoomScaleSheetLayoutView="85" workbookViewId="0">
      <selection activeCell="W6" sqref="W6"/>
    </sheetView>
  </sheetViews>
  <sheetFormatPr baseColWidth="10" defaultColWidth="11.5703125" defaultRowHeight="12.75" x14ac:dyDescent="0.2"/>
  <cols>
    <col min="1" max="1" width="11.5703125" style="38"/>
    <col min="2" max="2" width="10.7109375" style="38" customWidth="1"/>
    <col min="3" max="3" width="8.7109375" style="38" customWidth="1"/>
    <col min="4" max="4" width="4.7109375" style="38" customWidth="1"/>
    <col min="5" max="5" width="10.7109375" style="38" customWidth="1"/>
    <col min="6" max="6" width="4.7109375" style="38" customWidth="1"/>
    <col min="7" max="7" width="8.7109375" style="38" customWidth="1"/>
    <col min="8" max="8" width="4.7109375" style="38" customWidth="1"/>
    <col min="9" max="9" width="10.7109375" style="38" customWidth="1"/>
    <col min="10" max="10" width="4.7109375" style="38" customWidth="1"/>
    <col min="11" max="11" width="12.7109375" style="38" customWidth="1"/>
    <col min="12" max="12" width="4.7109375" style="38" customWidth="1"/>
    <col min="13" max="13" width="12.7109375" style="38" customWidth="1"/>
    <col min="14" max="14" width="4.7109375" style="38" customWidth="1"/>
    <col min="15" max="15" width="8.7109375" style="38" customWidth="1"/>
    <col min="16" max="16" width="4.7109375" style="38" customWidth="1"/>
    <col min="17" max="17" width="15.7109375" style="38" customWidth="1"/>
    <col min="18" max="18" width="4.7109375" style="38" customWidth="1"/>
    <col min="19" max="19" width="15.7109375" style="38" customWidth="1"/>
    <col min="20" max="20" width="4.7109375" style="38" customWidth="1"/>
    <col min="21" max="16384" width="11.5703125" style="38"/>
  </cols>
  <sheetData>
    <row r="1" spans="2:27" ht="15.75" x14ac:dyDescent="0.2">
      <c r="B1" s="691" t="s">
        <v>169</v>
      </c>
      <c r="C1" s="691"/>
      <c r="D1" s="691"/>
      <c r="E1" s="691"/>
      <c r="F1" s="691"/>
      <c r="G1" s="691"/>
      <c r="H1" s="691"/>
      <c r="I1" s="691"/>
      <c r="J1" s="691"/>
      <c r="K1" s="691"/>
      <c r="L1" s="691"/>
      <c r="M1" s="691"/>
      <c r="N1" s="691"/>
      <c r="O1" s="691"/>
      <c r="P1" s="691"/>
      <c r="Q1" s="691"/>
      <c r="R1" s="691"/>
      <c r="S1" s="691"/>
      <c r="T1" s="691"/>
      <c r="U1" s="1"/>
      <c r="V1" s="1"/>
      <c r="W1" s="1"/>
      <c r="X1" s="1"/>
      <c r="Y1" s="1"/>
      <c r="Z1" s="1"/>
      <c r="AA1" s="1"/>
    </row>
    <row r="2" spans="2:27" ht="25.15" customHeight="1" x14ac:dyDescent="0.2">
      <c r="B2" s="693" t="s">
        <v>145</v>
      </c>
      <c r="C2" s="693"/>
      <c r="D2" s="693"/>
      <c r="E2" s="693"/>
      <c r="F2" s="693"/>
      <c r="G2" s="693"/>
      <c r="H2" s="693"/>
      <c r="I2" s="693"/>
      <c r="J2" s="693"/>
      <c r="K2" s="693"/>
      <c r="L2" s="693"/>
      <c r="M2" s="693"/>
      <c r="N2" s="693"/>
      <c r="O2" s="693"/>
      <c r="P2" s="693"/>
      <c r="Q2" s="693"/>
      <c r="R2" s="693"/>
      <c r="S2" s="693"/>
      <c r="T2" s="1"/>
      <c r="U2" s="1"/>
      <c r="V2" s="1"/>
      <c r="W2" s="1"/>
      <c r="X2" s="1"/>
      <c r="Y2" s="1"/>
      <c r="Z2" s="1"/>
      <c r="AA2" s="1"/>
    </row>
    <row r="3" spans="2:27" ht="33" customHeight="1" x14ac:dyDescent="0.2">
      <c r="B3" s="692" t="s">
        <v>154</v>
      </c>
      <c r="C3" s="692"/>
      <c r="D3" s="692"/>
      <c r="E3" s="692"/>
      <c r="F3" s="692"/>
      <c r="G3" s="692"/>
      <c r="H3" s="692"/>
      <c r="I3" s="692"/>
      <c r="J3" s="692"/>
      <c r="K3" s="692"/>
      <c r="L3" s="692"/>
      <c r="M3" s="692"/>
      <c r="N3" s="692"/>
      <c r="O3" s="692"/>
      <c r="P3" s="692"/>
      <c r="Q3" s="692"/>
      <c r="R3" s="692"/>
      <c r="S3" s="692"/>
      <c r="T3" s="692"/>
      <c r="U3" s="1"/>
      <c r="V3" s="862"/>
      <c r="W3" s="862"/>
      <c r="X3" s="862"/>
      <c r="Y3" s="862"/>
      <c r="Z3" s="862"/>
      <c r="AA3" s="1"/>
    </row>
    <row r="4" spans="2:27" ht="25.15" customHeight="1" thickBot="1" x14ac:dyDescent="0.25">
      <c r="B4" s="691" t="s">
        <v>333</v>
      </c>
      <c r="C4" s="691"/>
      <c r="D4" s="691"/>
      <c r="E4" s="691"/>
      <c r="F4" s="691"/>
      <c r="G4" s="691"/>
      <c r="H4" s="691"/>
      <c r="I4" s="691"/>
      <c r="J4" s="691"/>
      <c r="K4" s="691"/>
      <c r="L4" s="691"/>
      <c r="M4" s="691"/>
      <c r="N4" s="691"/>
      <c r="O4" s="691"/>
      <c r="P4" s="691"/>
      <c r="Q4" s="691"/>
      <c r="R4" s="691"/>
      <c r="S4" s="691"/>
      <c r="T4" s="691"/>
      <c r="U4" s="23"/>
      <c r="V4" s="190"/>
      <c r="W4" s="190"/>
      <c r="X4" s="23"/>
      <c r="Y4" s="191"/>
      <c r="Z4" s="190"/>
      <c r="AA4" s="1"/>
    </row>
    <row r="5" spans="2:27" ht="41.25" customHeight="1" thickBot="1" x14ac:dyDescent="0.25">
      <c r="B5" s="904" t="s">
        <v>1</v>
      </c>
      <c r="C5" s="904" t="s">
        <v>2</v>
      </c>
      <c r="D5" s="904"/>
      <c r="E5" s="904"/>
      <c r="F5" s="904"/>
      <c r="G5" s="906" t="s">
        <v>11</v>
      </c>
      <c r="H5" s="906"/>
      <c r="I5" s="906"/>
      <c r="J5" s="906"/>
      <c r="K5" s="906" t="s">
        <v>12</v>
      </c>
      <c r="L5" s="906"/>
      <c r="M5" s="906"/>
      <c r="N5" s="906"/>
      <c r="O5" s="904" t="s">
        <v>157</v>
      </c>
      <c r="P5" s="904"/>
      <c r="Q5" s="904"/>
      <c r="R5" s="904"/>
      <c r="S5" s="904"/>
      <c r="T5" s="904"/>
      <c r="U5" s="1"/>
      <c r="V5" s="67"/>
      <c r="W5" s="67"/>
      <c r="X5" s="1"/>
      <c r="Y5" s="67"/>
      <c r="Z5" s="67"/>
      <c r="AA5" s="1"/>
    </row>
    <row r="6" spans="2:27" ht="35.25" customHeight="1" x14ac:dyDescent="0.2">
      <c r="B6" s="905"/>
      <c r="C6" s="903" t="s">
        <v>155</v>
      </c>
      <c r="D6" s="903"/>
      <c r="E6" s="903" t="s">
        <v>156</v>
      </c>
      <c r="F6" s="903"/>
      <c r="G6" s="903" t="s">
        <v>155</v>
      </c>
      <c r="H6" s="903"/>
      <c r="I6" s="903" t="s">
        <v>156</v>
      </c>
      <c r="J6" s="903"/>
      <c r="K6" s="903" t="s">
        <v>155</v>
      </c>
      <c r="L6" s="903"/>
      <c r="M6" s="903" t="s">
        <v>156</v>
      </c>
      <c r="N6" s="903"/>
      <c r="O6" s="903" t="s">
        <v>2</v>
      </c>
      <c r="P6" s="903"/>
      <c r="Q6" s="903" t="s">
        <v>15</v>
      </c>
      <c r="R6" s="903"/>
      <c r="S6" s="903" t="s">
        <v>12</v>
      </c>
      <c r="T6" s="903"/>
      <c r="U6" s="1"/>
      <c r="V6" s="67"/>
      <c r="W6" s="67"/>
      <c r="X6" s="1"/>
      <c r="Y6" s="67"/>
      <c r="Z6" s="67"/>
      <c r="AA6" s="1"/>
    </row>
    <row r="7" spans="2:27" x14ac:dyDescent="0.2">
      <c r="B7" s="409"/>
      <c r="C7" s="363"/>
      <c r="D7" s="363"/>
      <c r="E7" s="363"/>
      <c r="F7" s="363"/>
      <c r="G7" s="363"/>
      <c r="H7" s="363"/>
      <c r="I7" s="363"/>
      <c r="J7" s="363"/>
      <c r="K7" s="363"/>
      <c r="L7" s="363"/>
      <c r="M7" s="363"/>
      <c r="N7" s="363"/>
      <c r="O7" s="500"/>
      <c r="P7" s="500"/>
      <c r="Q7" s="500"/>
      <c r="R7" s="500"/>
      <c r="S7" s="501"/>
      <c r="T7" s="439"/>
      <c r="U7" s="1"/>
      <c r="V7" s="67"/>
      <c r="W7" s="67"/>
      <c r="X7" s="1"/>
      <c r="Y7" s="67"/>
      <c r="Z7" s="67"/>
      <c r="AA7" s="1"/>
    </row>
    <row r="8" spans="2:27" ht="20.100000000000001" customHeight="1" x14ac:dyDescent="0.2">
      <c r="B8" s="376">
        <v>2000</v>
      </c>
      <c r="C8" s="70">
        <v>6</v>
      </c>
      <c r="D8" s="70"/>
      <c r="E8" s="70">
        <v>3</v>
      </c>
      <c r="F8" s="70"/>
      <c r="G8" s="70">
        <v>872</v>
      </c>
      <c r="H8" s="70"/>
      <c r="I8" s="70">
        <v>451</v>
      </c>
      <c r="J8" s="70"/>
      <c r="K8" s="70">
        <v>14968</v>
      </c>
      <c r="L8" s="70"/>
      <c r="M8" s="70">
        <v>3608</v>
      </c>
      <c r="N8" s="70"/>
      <c r="O8" s="454">
        <f>SUM(C8:F8)</f>
        <v>9</v>
      </c>
      <c r="P8" s="454"/>
      <c r="Q8" s="454">
        <f>SUM(G8:J8)</f>
        <v>1323</v>
      </c>
      <c r="R8" s="454"/>
      <c r="S8" s="454">
        <f>SUM(K8:N8)</f>
        <v>18576</v>
      </c>
      <c r="T8" s="447"/>
      <c r="U8" s="1"/>
      <c r="V8" s="67"/>
      <c r="W8" s="67"/>
      <c r="X8" s="1"/>
      <c r="Y8" s="67"/>
      <c r="Z8" s="67"/>
      <c r="AA8" s="1"/>
    </row>
    <row r="9" spans="2:27" ht="20.100000000000001" customHeight="1" x14ac:dyDescent="0.2">
      <c r="B9" s="376">
        <v>2001</v>
      </c>
      <c r="C9" s="70">
        <v>15</v>
      </c>
      <c r="D9" s="70"/>
      <c r="E9" s="70">
        <v>0</v>
      </c>
      <c r="F9" s="70"/>
      <c r="G9" s="70">
        <v>2121</v>
      </c>
      <c r="H9" s="70"/>
      <c r="I9" s="70">
        <v>0</v>
      </c>
      <c r="J9" s="70"/>
      <c r="K9" s="70">
        <v>70008</v>
      </c>
      <c r="L9" s="70"/>
      <c r="M9" s="70">
        <v>0</v>
      </c>
      <c r="N9" s="70"/>
      <c r="O9" s="454">
        <f t="shared" ref="O9:O28" si="0">SUM(C9:F9)</f>
        <v>15</v>
      </c>
      <c r="P9" s="454"/>
      <c r="Q9" s="454">
        <f t="shared" ref="Q9:Q28" si="1">SUM(G9:J9)</f>
        <v>2121</v>
      </c>
      <c r="R9" s="454"/>
      <c r="S9" s="454">
        <f t="shared" ref="S9:S32" si="2">SUM(K9:N9)</f>
        <v>70008</v>
      </c>
      <c r="T9" s="447"/>
      <c r="U9" s="1"/>
      <c r="V9" s="67"/>
      <c r="W9" s="67"/>
      <c r="X9" s="1"/>
      <c r="Y9" s="67"/>
      <c r="Z9" s="67"/>
      <c r="AA9" s="1"/>
    </row>
    <row r="10" spans="2:27" ht="20.100000000000001" customHeight="1" x14ac:dyDescent="0.2">
      <c r="B10" s="376">
        <v>2002</v>
      </c>
      <c r="C10" s="248">
        <v>19</v>
      </c>
      <c r="D10" s="248"/>
      <c r="E10" s="70">
        <v>1</v>
      </c>
      <c r="F10" s="70"/>
      <c r="G10" s="248">
        <v>7422</v>
      </c>
      <c r="H10" s="248"/>
      <c r="I10" s="70">
        <v>290</v>
      </c>
      <c r="J10" s="70"/>
      <c r="K10" s="70">
        <v>374448</v>
      </c>
      <c r="L10" s="70"/>
      <c r="M10" s="70">
        <v>2320</v>
      </c>
      <c r="N10" s="70"/>
      <c r="O10" s="454">
        <f t="shared" si="0"/>
        <v>20</v>
      </c>
      <c r="P10" s="454"/>
      <c r="Q10" s="454">
        <f t="shared" si="1"/>
        <v>7712</v>
      </c>
      <c r="R10" s="454"/>
      <c r="S10" s="454">
        <f t="shared" si="2"/>
        <v>376768</v>
      </c>
      <c r="T10" s="447"/>
      <c r="U10" s="1"/>
      <c r="V10" s="67"/>
      <c r="W10" s="1"/>
      <c r="X10" s="1"/>
      <c r="Y10" s="67"/>
      <c r="Z10" s="67"/>
      <c r="AA10" s="1"/>
    </row>
    <row r="11" spans="2:27" ht="20.100000000000001" customHeight="1" x14ac:dyDescent="0.2">
      <c r="B11" s="376">
        <v>2003</v>
      </c>
      <c r="C11" s="248">
        <v>4</v>
      </c>
      <c r="D11" s="248"/>
      <c r="E11" s="70">
        <v>0</v>
      </c>
      <c r="F11" s="70"/>
      <c r="G11" s="248">
        <v>1554</v>
      </c>
      <c r="H11" s="248"/>
      <c r="I11" s="70">
        <v>0</v>
      </c>
      <c r="J11" s="70"/>
      <c r="K11" s="248">
        <v>43200</v>
      </c>
      <c r="L11" s="248"/>
      <c r="M11" s="70">
        <v>0</v>
      </c>
      <c r="N11" s="70"/>
      <c r="O11" s="454">
        <f t="shared" si="0"/>
        <v>4</v>
      </c>
      <c r="P11" s="454"/>
      <c r="Q11" s="454">
        <f t="shared" si="1"/>
        <v>1554</v>
      </c>
      <c r="R11" s="454"/>
      <c r="S11" s="454">
        <f t="shared" si="2"/>
        <v>43200</v>
      </c>
      <c r="T11" s="447"/>
      <c r="U11" s="1"/>
      <c r="V11" s="67"/>
      <c r="W11" s="67"/>
      <c r="X11" s="1"/>
      <c r="Y11" s="67"/>
      <c r="Z11" s="67"/>
      <c r="AA11" s="1"/>
    </row>
    <row r="12" spans="2:27" ht="20.100000000000001" customHeight="1" x14ac:dyDescent="0.2">
      <c r="B12" s="376">
        <v>2004</v>
      </c>
      <c r="C12" s="70">
        <v>20</v>
      </c>
      <c r="D12" s="70"/>
      <c r="E12" s="70">
        <v>1</v>
      </c>
      <c r="F12" s="70"/>
      <c r="G12" s="248">
        <v>8936</v>
      </c>
      <c r="H12" s="248"/>
      <c r="I12" s="70">
        <v>84</v>
      </c>
      <c r="J12" s="70"/>
      <c r="K12" s="248">
        <v>178512</v>
      </c>
      <c r="L12" s="248"/>
      <c r="M12" s="70">
        <v>672</v>
      </c>
      <c r="N12" s="70"/>
      <c r="O12" s="454">
        <f t="shared" si="0"/>
        <v>21</v>
      </c>
      <c r="P12" s="454"/>
      <c r="Q12" s="454">
        <f t="shared" si="1"/>
        <v>9020</v>
      </c>
      <c r="R12" s="454"/>
      <c r="S12" s="454">
        <f t="shared" si="2"/>
        <v>179184</v>
      </c>
      <c r="T12" s="447"/>
      <c r="U12" s="1"/>
      <c r="V12" s="67"/>
      <c r="W12" s="67"/>
      <c r="X12" s="1"/>
      <c r="Y12" s="67"/>
      <c r="Z12" s="67"/>
      <c r="AA12" s="1"/>
    </row>
    <row r="13" spans="2:27" ht="20.100000000000001" customHeight="1" x14ac:dyDescent="0.2">
      <c r="B13" s="376">
        <v>2005</v>
      </c>
      <c r="C13" s="70">
        <v>8</v>
      </c>
      <c r="D13" s="70"/>
      <c r="E13" s="70">
        <v>4</v>
      </c>
      <c r="F13" s="70"/>
      <c r="G13" s="248">
        <v>3118</v>
      </c>
      <c r="H13" s="248"/>
      <c r="I13" s="70">
        <v>357</v>
      </c>
      <c r="J13" s="70"/>
      <c r="K13" s="248">
        <v>115952</v>
      </c>
      <c r="L13" s="248"/>
      <c r="M13" s="70">
        <v>2856</v>
      </c>
      <c r="N13" s="70"/>
      <c r="O13" s="454">
        <f t="shared" si="0"/>
        <v>12</v>
      </c>
      <c r="P13" s="454"/>
      <c r="Q13" s="454">
        <f t="shared" si="1"/>
        <v>3475</v>
      </c>
      <c r="R13" s="454"/>
      <c r="S13" s="454">
        <f t="shared" si="2"/>
        <v>118808</v>
      </c>
      <c r="T13" s="447"/>
      <c r="U13" s="1"/>
      <c r="V13" s="67"/>
      <c r="W13" s="67"/>
      <c r="X13" s="1"/>
      <c r="Y13" s="67"/>
      <c r="Z13" s="1"/>
      <c r="AA13" s="1"/>
    </row>
    <row r="14" spans="2:27" ht="20.100000000000001" customHeight="1" x14ac:dyDescent="0.2">
      <c r="B14" s="376">
        <v>2006</v>
      </c>
      <c r="C14" s="70">
        <v>8</v>
      </c>
      <c r="D14" s="70"/>
      <c r="E14" s="70">
        <v>2</v>
      </c>
      <c r="F14" s="70"/>
      <c r="G14" s="248">
        <v>2617</v>
      </c>
      <c r="H14" s="248"/>
      <c r="I14" s="70">
        <v>224</v>
      </c>
      <c r="J14" s="70"/>
      <c r="K14" s="248">
        <v>79056</v>
      </c>
      <c r="L14" s="248"/>
      <c r="M14" s="70">
        <v>3576</v>
      </c>
      <c r="N14" s="70"/>
      <c r="O14" s="454">
        <f t="shared" si="0"/>
        <v>10</v>
      </c>
      <c r="P14" s="454"/>
      <c r="Q14" s="454">
        <f t="shared" si="1"/>
        <v>2841</v>
      </c>
      <c r="R14" s="454"/>
      <c r="S14" s="454">
        <f t="shared" si="2"/>
        <v>82632</v>
      </c>
      <c r="T14" s="447"/>
      <c r="U14" s="1"/>
      <c r="V14" s="67"/>
      <c r="W14" s="67"/>
      <c r="X14" s="1"/>
      <c r="Y14" s="67"/>
      <c r="Z14" s="1"/>
      <c r="AA14" s="1"/>
    </row>
    <row r="15" spans="2:27" ht="20.100000000000001" customHeight="1" x14ac:dyDescent="0.2">
      <c r="B15" s="376">
        <v>2007</v>
      </c>
      <c r="C15" s="70">
        <v>29</v>
      </c>
      <c r="D15" s="70"/>
      <c r="E15" s="70">
        <v>0</v>
      </c>
      <c r="F15" s="70"/>
      <c r="G15" s="248">
        <v>41676</v>
      </c>
      <c r="H15" s="248"/>
      <c r="I15" s="70">
        <v>0</v>
      </c>
      <c r="J15" s="70"/>
      <c r="K15" s="248">
        <v>2057232</v>
      </c>
      <c r="L15" s="248"/>
      <c r="M15" s="70">
        <v>0</v>
      </c>
      <c r="N15" s="70"/>
      <c r="O15" s="454">
        <f t="shared" si="0"/>
        <v>29</v>
      </c>
      <c r="P15" s="454"/>
      <c r="Q15" s="454">
        <f t="shared" si="1"/>
        <v>41676</v>
      </c>
      <c r="R15" s="454"/>
      <c r="S15" s="454">
        <f t="shared" si="2"/>
        <v>2057232</v>
      </c>
      <c r="T15" s="447"/>
      <c r="U15" s="1"/>
      <c r="V15" s="67"/>
      <c r="W15" s="67"/>
      <c r="X15" s="1"/>
      <c r="Y15" s="67"/>
      <c r="Z15" s="1"/>
      <c r="AA15" s="1"/>
    </row>
    <row r="16" spans="2:27" ht="20.100000000000001" customHeight="1" x14ac:dyDescent="0.2">
      <c r="B16" s="376">
        <v>2008</v>
      </c>
      <c r="C16" s="70">
        <v>38</v>
      </c>
      <c r="D16" s="70"/>
      <c r="E16" s="70">
        <v>1</v>
      </c>
      <c r="F16" s="70"/>
      <c r="G16" s="248">
        <v>27862</v>
      </c>
      <c r="H16" s="248"/>
      <c r="I16" s="70">
        <v>274</v>
      </c>
      <c r="J16" s="70"/>
      <c r="K16" s="248">
        <v>1416232</v>
      </c>
      <c r="L16" s="248"/>
      <c r="M16" s="70">
        <v>2192</v>
      </c>
      <c r="N16" s="70"/>
      <c r="O16" s="454">
        <f t="shared" si="0"/>
        <v>39</v>
      </c>
      <c r="P16" s="454"/>
      <c r="Q16" s="454">
        <f t="shared" si="1"/>
        <v>28136</v>
      </c>
      <c r="R16" s="454"/>
      <c r="S16" s="454">
        <f t="shared" si="2"/>
        <v>1418424</v>
      </c>
      <c r="T16" s="447"/>
      <c r="U16" s="1"/>
      <c r="V16" s="67"/>
      <c r="W16" s="67"/>
      <c r="X16" s="1"/>
      <c r="Y16" s="67"/>
      <c r="Z16" s="1"/>
      <c r="AA16" s="1"/>
    </row>
    <row r="17" spans="2:27" ht="20.100000000000001" customHeight="1" x14ac:dyDescent="0.2">
      <c r="B17" s="376">
        <v>2009</v>
      </c>
      <c r="C17" s="70">
        <v>32</v>
      </c>
      <c r="D17" s="70"/>
      <c r="E17" s="70">
        <v>1</v>
      </c>
      <c r="F17" s="70"/>
      <c r="G17" s="248">
        <v>20484</v>
      </c>
      <c r="H17" s="248"/>
      <c r="I17" s="70">
        <v>93</v>
      </c>
      <c r="J17" s="70"/>
      <c r="K17" s="248">
        <v>1033360</v>
      </c>
      <c r="L17" s="248"/>
      <c r="M17" s="70">
        <v>1480</v>
      </c>
      <c r="N17" s="70"/>
      <c r="O17" s="454">
        <f t="shared" si="0"/>
        <v>33</v>
      </c>
      <c r="P17" s="454"/>
      <c r="Q17" s="454">
        <f t="shared" si="1"/>
        <v>20577</v>
      </c>
      <c r="R17" s="454"/>
      <c r="S17" s="454">
        <f t="shared" si="2"/>
        <v>1034840</v>
      </c>
      <c r="T17" s="447"/>
      <c r="U17" s="1"/>
      <c r="V17" s="67"/>
      <c r="W17" s="67"/>
      <c r="X17" s="1"/>
      <c r="Y17" s="67"/>
      <c r="Z17" s="1"/>
      <c r="AA17" s="1"/>
    </row>
    <row r="18" spans="2:27" ht="20.100000000000001" customHeight="1" x14ac:dyDescent="0.2">
      <c r="B18" s="376">
        <v>2010</v>
      </c>
      <c r="C18" s="70">
        <v>33</v>
      </c>
      <c r="D18" s="70"/>
      <c r="E18" s="70">
        <v>3</v>
      </c>
      <c r="F18" s="70"/>
      <c r="G18" s="248">
        <v>16063</v>
      </c>
      <c r="H18" s="248"/>
      <c r="I18" s="70">
        <v>314</v>
      </c>
      <c r="J18" s="70"/>
      <c r="K18" s="248">
        <v>586908</v>
      </c>
      <c r="L18" s="248"/>
      <c r="M18" s="70">
        <v>26632</v>
      </c>
      <c r="N18" s="70"/>
      <c r="O18" s="454">
        <f t="shared" si="0"/>
        <v>36</v>
      </c>
      <c r="P18" s="454"/>
      <c r="Q18" s="454">
        <f t="shared" si="1"/>
        <v>16377</v>
      </c>
      <c r="R18" s="454"/>
      <c r="S18" s="454">
        <f t="shared" si="2"/>
        <v>613540</v>
      </c>
      <c r="T18" s="447"/>
      <c r="U18" s="1"/>
      <c r="V18" s="67"/>
      <c r="W18" s="67"/>
      <c r="X18" s="1"/>
      <c r="Y18" s="67"/>
      <c r="Z18" s="1"/>
      <c r="AA18" s="1"/>
    </row>
    <row r="19" spans="2:27" ht="20.100000000000001" customHeight="1" x14ac:dyDescent="0.2">
      <c r="B19" s="376">
        <v>2011</v>
      </c>
      <c r="C19" s="70">
        <v>30</v>
      </c>
      <c r="D19" s="70"/>
      <c r="E19" s="70">
        <v>0</v>
      </c>
      <c r="F19" s="70"/>
      <c r="G19" s="248">
        <v>14416</v>
      </c>
      <c r="H19" s="248"/>
      <c r="I19" s="70">
        <v>0</v>
      </c>
      <c r="J19" s="70"/>
      <c r="K19" s="70">
        <v>1308808</v>
      </c>
      <c r="L19" s="248"/>
      <c r="M19" s="70">
        <v>0</v>
      </c>
      <c r="N19" s="70"/>
      <c r="O19" s="454">
        <f t="shared" si="0"/>
        <v>30</v>
      </c>
      <c r="P19" s="454"/>
      <c r="Q19" s="454">
        <f t="shared" si="1"/>
        <v>14416</v>
      </c>
      <c r="R19" s="454"/>
      <c r="S19" s="454">
        <f t="shared" si="2"/>
        <v>1308808</v>
      </c>
      <c r="T19" s="447"/>
      <c r="U19" s="1"/>
      <c r="V19" s="67"/>
      <c r="W19" s="67"/>
      <c r="X19" s="1"/>
      <c r="Y19" s="67"/>
      <c r="Z19" s="1"/>
      <c r="AA19" s="1"/>
    </row>
    <row r="20" spans="2:27" ht="20.100000000000001" customHeight="1" x14ac:dyDescent="0.2">
      <c r="B20" s="376">
        <v>2012</v>
      </c>
      <c r="C20" s="70">
        <v>30</v>
      </c>
      <c r="D20" s="70"/>
      <c r="E20" s="70">
        <v>0</v>
      </c>
      <c r="F20" s="70"/>
      <c r="G20" s="248">
        <v>9049</v>
      </c>
      <c r="H20" s="248"/>
      <c r="I20" s="70">
        <v>0</v>
      </c>
      <c r="J20" s="70"/>
      <c r="K20" s="70">
        <v>1034080</v>
      </c>
      <c r="L20" s="248"/>
      <c r="M20" s="70">
        <v>0</v>
      </c>
      <c r="N20" s="70"/>
      <c r="O20" s="454">
        <f t="shared" si="0"/>
        <v>30</v>
      </c>
      <c r="P20" s="454"/>
      <c r="Q20" s="454">
        <f t="shared" si="1"/>
        <v>9049</v>
      </c>
      <c r="R20" s="454"/>
      <c r="S20" s="454">
        <f t="shared" si="2"/>
        <v>1034080</v>
      </c>
      <c r="T20" s="447"/>
      <c r="U20" s="1"/>
      <c r="V20" s="67"/>
      <c r="W20" s="67"/>
      <c r="X20" s="1"/>
      <c r="Y20" s="67"/>
      <c r="Z20" s="1"/>
      <c r="AA20" s="1"/>
    </row>
    <row r="21" spans="2:27" ht="20.100000000000001" customHeight="1" x14ac:dyDescent="0.2">
      <c r="B21" s="376">
        <v>2013</v>
      </c>
      <c r="C21" s="70">
        <v>31</v>
      </c>
      <c r="D21" s="70"/>
      <c r="E21" s="70">
        <v>2</v>
      </c>
      <c r="F21" s="70"/>
      <c r="G21" s="248">
        <v>11906</v>
      </c>
      <c r="H21" s="248"/>
      <c r="I21" s="70">
        <v>238</v>
      </c>
      <c r="J21" s="70"/>
      <c r="K21" s="70">
        <v>1050186</v>
      </c>
      <c r="L21" s="248"/>
      <c r="M21" s="70">
        <v>6888</v>
      </c>
      <c r="N21" s="70"/>
      <c r="O21" s="454">
        <f t="shared" si="0"/>
        <v>33</v>
      </c>
      <c r="P21" s="454">
        <v>0</v>
      </c>
      <c r="Q21" s="454">
        <f t="shared" si="1"/>
        <v>12144</v>
      </c>
      <c r="R21" s="454"/>
      <c r="S21" s="454">
        <f t="shared" si="2"/>
        <v>1057074</v>
      </c>
      <c r="T21" s="447"/>
      <c r="U21" s="1"/>
      <c r="V21" s="67"/>
      <c r="W21" s="67"/>
      <c r="X21" s="1"/>
      <c r="Y21" s="67"/>
      <c r="Z21" s="1"/>
      <c r="AA21" s="1"/>
    </row>
    <row r="22" spans="2:27" ht="20.100000000000001" customHeight="1" x14ac:dyDescent="0.2">
      <c r="B22" s="376">
        <v>2014</v>
      </c>
      <c r="C22" s="70">
        <v>30</v>
      </c>
      <c r="D22" s="70"/>
      <c r="E22" s="70">
        <v>2</v>
      </c>
      <c r="F22" s="70"/>
      <c r="G22" s="248">
        <v>14549</v>
      </c>
      <c r="H22" s="248"/>
      <c r="I22" s="70">
        <v>199</v>
      </c>
      <c r="J22" s="70"/>
      <c r="K22" s="70">
        <v>1165360</v>
      </c>
      <c r="L22" s="248"/>
      <c r="M22" s="70">
        <v>4704</v>
      </c>
      <c r="N22" s="70"/>
      <c r="O22" s="454">
        <f t="shared" si="0"/>
        <v>32</v>
      </c>
      <c r="P22" s="454"/>
      <c r="Q22" s="454">
        <f t="shared" si="1"/>
        <v>14748</v>
      </c>
      <c r="R22" s="454"/>
      <c r="S22" s="454">
        <f t="shared" si="2"/>
        <v>1170064</v>
      </c>
      <c r="T22" s="447"/>
      <c r="U22" s="1"/>
      <c r="V22" s="67"/>
      <c r="W22" s="67"/>
      <c r="X22" s="1"/>
      <c r="Y22" s="67"/>
      <c r="Z22" s="1"/>
      <c r="AA22" s="1"/>
    </row>
    <row r="23" spans="2:27" ht="20.100000000000001" customHeight="1" x14ac:dyDescent="0.2">
      <c r="B23" s="376">
        <v>2015</v>
      </c>
      <c r="C23" s="70">
        <v>10</v>
      </c>
      <c r="D23" s="70"/>
      <c r="E23" s="70">
        <v>1</v>
      </c>
      <c r="F23" s="70"/>
      <c r="G23" s="248">
        <v>10447</v>
      </c>
      <c r="H23" s="248"/>
      <c r="I23" s="70">
        <v>726</v>
      </c>
      <c r="J23" s="70"/>
      <c r="K23" s="70">
        <v>1171104</v>
      </c>
      <c r="L23" s="248"/>
      <c r="M23" s="70">
        <v>5808</v>
      </c>
      <c r="N23" s="70"/>
      <c r="O23" s="454">
        <f t="shared" si="0"/>
        <v>11</v>
      </c>
      <c r="P23" s="454"/>
      <c r="Q23" s="454">
        <f t="shared" si="1"/>
        <v>11173</v>
      </c>
      <c r="R23" s="454"/>
      <c r="S23" s="454">
        <f t="shared" si="2"/>
        <v>1176912</v>
      </c>
      <c r="T23" s="447"/>
      <c r="U23" s="1"/>
      <c r="V23" s="67"/>
      <c r="W23" s="67"/>
      <c r="X23" s="1"/>
      <c r="Y23" s="67"/>
      <c r="Z23" s="1"/>
      <c r="AA23" s="1"/>
    </row>
    <row r="24" spans="2:27" ht="20.100000000000001" customHeight="1" x14ac:dyDescent="0.2">
      <c r="B24" s="376">
        <v>2016</v>
      </c>
      <c r="C24" s="70">
        <v>14</v>
      </c>
      <c r="D24" s="70"/>
      <c r="E24" s="70">
        <v>0</v>
      </c>
      <c r="F24" s="70"/>
      <c r="G24" s="248">
        <v>5565</v>
      </c>
      <c r="H24" s="248"/>
      <c r="I24" s="70">
        <v>0</v>
      </c>
      <c r="J24" s="70"/>
      <c r="K24" s="70">
        <v>544312</v>
      </c>
      <c r="L24" s="248"/>
      <c r="M24" s="70">
        <v>0</v>
      </c>
      <c r="N24" s="70"/>
      <c r="O24" s="454">
        <f t="shared" si="0"/>
        <v>14</v>
      </c>
      <c r="P24" s="454"/>
      <c r="Q24" s="454">
        <f t="shared" si="1"/>
        <v>5565</v>
      </c>
      <c r="R24" s="454"/>
      <c r="S24" s="454">
        <f t="shared" si="2"/>
        <v>544312</v>
      </c>
      <c r="T24" s="447"/>
      <c r="U24" s="1"/>
      <c r="V24" s="67"/>
      <c r="W24" s="67"/>
      <c r="X24" s="1"/>
      <c r="Y24" s="67"/>
      <c r="Z24" s="1"/>
      <c r="AA24" s="1"/>
    </row>
    <row r="25" spans="2:27" ht="19.5" customHeight="1" x14ac:dyDescent="0.2">
      <c r="B25" s="376">
        <v>2017</v>
      </c>
      <c r="C25" s="70">
        <v>14</v>
      </c>
      <c r="D25" s="70"/>
      <c r="E25" s="70">
        <v>0</v>
      </c>
      <c r="F25" s="70"/>
      <c r="G25" s="248">
        <v>8643</v>
      </c>
      <c r="H25" s="248"/>
      <c r="I25" s="70">
        <v>0</v>
      </c>
      <c r="J25" s="70"/>
      <c r="K25" s="70">
        <v>991464</v>
      </c>
      <c r="L25" s="248"/>
      <c r="M25" s="70">
        <v>0</v>
      </c>
      <c r="N25" s="70"/>
      <c r="O25" s="454">
        <f>SUM(C25:F25)</f>
        <v>14</v>
      </c>
      <c r="P25" s="454"/>
      <c r="Q25" s="454">
        <f>SUM(G25:J25)</f>
        <v>8643</v>
      </c>
      <c r="R25" s="454"/>
      <c r="S25" s="454">
        <f>SUM(K25:N25)</f>
        <v>991464</v>
      </c>
      <c r="T25" s="447"/>
      <c r="U25" s="1"/>
      <c r="V25" s="67"/>
      <c r="W25" s="67"/>
      <c r="X25" s="1"/>
      <c r="Y25" s="67"/>
      <c r="Z25" s="1"/>
      <c r="AA25" s="1"/>
    </row>
    <row r="26" spans="2:27" ht="19.5" customHeight="1" x14ac:dyDescent="0.2">
      <c r="B26" s="376">
        <v>2018</v>
      </c>
      <c r="C26" s="70">
        <v>14</v>
      </c>
      <c r="D26" s="70"/>
      <c r="E26" s="70">
        <v>0</v>
      </c>
      <c r="F26" s="70"/>
      <c r="G26" s="248">
        <v>4531</v>
      </c>
      <c r="H26" s="248"/>
      <c r="I26" s="70">
        <v>0</v>
      </c>
      <c r="J26" s="70"/>
      <c r="K26" s="70">
        <v>425512</v>
      </c>
      <c r="L26" s="248"/>
      <c r="M26" s="70">
        <v>0</v>
      </c>
      <c r="N26" s="70"/>
      <c r="O26" s="454">
        <f t="shared" si="0"/>
        <v>14</v>
      </c>
      <c r="P26" s="454"/>
      <c r="Q26" s="454">
        <f t="shared" si="1"/>
        <v>4531</v>
      </c>
      <c r="R26" s="454"/>
      <c r="S26" s="454">
        <f t="shared" si="2"/>
        <v>425512</v>
      </c>
      <c r="T26" s="447"/>
      <c r="U26" s="1"/>
      <c r="V26" s="67"/>
      <c r="W26" s="67"/>
      <c r="X26" s="1"/>
      <c r="Y26" s="67"/>
      <c r="Z26" s="1"/>
      <c r="AA26" s="1"/>
    </row>
    <row r="27" spans="2:27" ht="19.5" customHeight="1" x14ac:dyDescent="0.2">
      <c r="B27" s="376">
        <v>2019</v>
      </c>
      <c r="C27" s="70">
        <v>18</v>
      </c>
      <c r="D27" s="70"/>
      <c r="E27" s="70">
        <v>0</v>
      </c>
      <c r="F27" s="70"/>
      <c r="G27" s="248">
        <v>12403</v>
      </c>
      <c r="H27" s="248"/>
      <c r="I27" s="70">
        <v>0</v>
      </c>
      <c r="J27" s="70"/>
      <c r="K27" s="70">
        <v>823176</v>
      </c>
      <c r="L27" s="248"/>
      <c r="M27" s="70">
        <v>0</v>
      </c>
      <c r="N27" s="70"/>
      <c r="O27" s="454">
        <f t="shared" si="0"/>
        <v>18</v>
      </c>
      <c r="P27" s="454"/>
      <c r="Q27" s="454">
        <f t="shared" si="1"/>
        <v>12403</v>
      </c>
      <c r="R27" s="454"/>
      <c r="S27" s="454">
        <f t="shared" ref="S27:S28" si="3">SUM(K27:N27)</f>
        <v>823176</v>
      </c>
      <c r="T27" s="447"/>
      <c r="U27" s="1"/>
      <c r="V27" s="67"/>
      <c r="W27" s="67"/>
      <c r="X27" s="1"/>
      <c r="Y27" s="67"/>
      <c r="Z27" s="1"/>
      <c r="AA27" s="1"/>
    </row>
    <row r="28" spans="2:27" ht="19.5" customHeight="1" x14ac:dyDescent="0.2">
      <c r="B28" s="376">
        <v>2020</v>
      </c>
      <c r="C28" s="70">
        <v>6</v>
      </c>
      <c r="D28" s="70"/>
      <c r="E28" s="70">
        <v>0</v>
      </c>
      <c r="F28" s="70"/>
      <c r="G28" s="248">
        <v>1563</v>
      </c>
      <c r="H28" s="248"/>
      <c r="I28" s="70">
        <v>0</v>
      </c>
      <c r="J28" s="70"/>
      <c r="K28" s="70">
        <v>63472</v>
      </c>
      <c r="L28" s="248"/>
      <c r="M28" s="70">
        <v>0</v>
      </c>
      <c r="N28" s="70"/>
      <c r="O28" s="454">
        <f t="shared" si="0"/>
        <v>6</v>
      </c>
      <c r="P28" s="454"/>
      <c r="Q28" s="454">
        <f t="shared" si="1"/>
        <v>1563</v>
      </c>
      <c r="R28" s="454"/>
      <c r="S28" s="454">
        <f t="shared" si="3"/>
        <v>63472</v>
      </c>
      <c r="T28" s="447"/>
      <c r="U28" s="1"/>
      <c r="V28" s="67"/>
      <c r="W28" s="67"/>
      <c r="X28" s="1"/>
      <c r="Y28" s="67"/>
      <c r="Z28" s="1"/>
      <c r="AA28" s="1"/>
    </row>
    <row r="29" spans="2:27" ht="19.5" customHeight="1" x14ac:dyDescent="0.2">
      <c r="B29" s="376">
        <v>2021</v>
      </c>
      <c r="C29" s="70">
        <v>15</v>
      </c>
      <c r="D29" s="70"/>
      <c r="E29" s="70">
        <v>0</v>
      </c>
      <c r="F29" s="70"/>
      <c r="G29" s="248">
        <v>5268</v>
      </c>
      <c r="H29" s="248"/>
      <c r="I29" s="70">
        <v>0</v>
      </c>
      <c r="J29" s="70"/>
      <c r="K29" s="70">
        <v>403056</v>
      </c>
      <c r="L29" s="248"/>
      <c r="M29" s="70">
        <v>0</v>
      </c>
      <c r="N29" s="70"/>
      <c r="O29" s="454">
        <f t="shared" ref="O29:O32" si="4">SUM(C29:F29)</f>
        <v>15</v>
      </c>
      <c r="P29" s="454"/>
      <c r="Q29" s="454">
        <f t="shared" ref="Q29:Q32" si="5">SUM(G29:J29)</f>
        <v>5268</v>
      </c>
      <c r="R29" s="454"/>
      <c r="S29" s="454">
        <f t="shared" si="2"/>
        <v>403056</v>
      </c>
      <c r="T29" s="447"/>
      <c r="U29" s="1"/>
      <c r="V29" s="67"/>
      <c r="W29" s="67"/>
      <c r="X29" s="1"/>
      <c r="Y29" s="67"/>
      <c r="Z29" s="1"/>
      <c r="AA29" s="1"/>
    </row>
    <row r="30" spans="2:27" ht="19.5" customHeight="1" x14ac:dyDescent="0.2">
      <c r="B30" s="376">
        <v>2022</v>
      </c>
      <c r="C30" s="70">
        <v>7</v>
      </c>
      <c r="D30" s="70"/>
      <c r="E30" s="70">
        <v>0</v>
      </c>
      <c r="F30" s="70"/>
      <c r="G30" s="248">
        <v>2802</v>
      </c>
      <c r="H30" s="248"/>
      <c r="I30" s="70">
        <v>0</v>
      </c>
      <c r="J30" s="70"/>
      <c r="K30" s="70">
        <v>255952</v>
      </c>
      <c r="L30" s="248"/>
      <c r="M30" s="70">
        <v>0</v>
      </c>
      <c r="N30" s="70"/>
      <c r="O30" s="454">
        <f t="shared" si="4"/>
        <v>7</v>
      </c>
      <c r="P30" s="454"/>
      <c r="Q30" s="454">
        <f t="shared" si="5"/>
        <v>2802</v>
      </c>
      <c r="R30" s="454"/>
      <c r="S30" s="454">
        <f t="shared" si="2"/>
        <v>255952</v>
      </c>
      <c r="T30" s="447"/>
      <c r="U30" s="1"/>
      <c r="V30" s="67"/>
      <c r="W30" s="67"/>
      <c r="X30" s="1"/>
      <c r="Y30" s="67"/>
      <c r="Z30" s="1"/>
      <c r="AA30" s="1"/>
    </row>
    <row r="31" spans="2:27" ht="19.5" customHeight="1" x14ac:dyDescent="0.2">
      <c r="B31" s="376">
        <v>2023</v>
      </c>
      <c r="C31" s="70">
        <v>10</v>
      </c>
      <c r="D31" s="70"/>
      <c r="E31" s="70">
        <v>0</v>
      </c>
      <c r="F31" s="70"/>
      <c r="G31" s="248">
        <v>2965</v>
      </c>
      <c r="H31" s="248"/>
      <c r="I31" s="70">
        <v>0</v>
      </c>
      <c r="J31" s="70"/>
      <c r="K31" s="70">
        <v>134777</v>
      </c>
      <c r="L31" s="248"/>
      <c r="M31" s="70">
        <v>0</v>
      </c>
      <c r="N31" s="70"/>
      <c r="O31" s="454">
        <f t="shared" si="4"/>
        <v>10</v>
      </c>
      <c r="P31" s="454"/>
      <c r="Q31" s="454">
        <f t="shared" si="5"/>
        <v>2965</v>
      </c>
      <c r="R31" s="454"/>
      <c r="S31" s="454">
        <f t="shared" si="2"/>
        <v>134777</v>
      </c>
      <c r="T31" s="447"/>
      <c r="U31" s="1"/>
      <c r="V31" s="67"/>
      <c r="W31" s="67"/>
      <c r="X31" s="1"/>
      <c r="Y31" s="67"/>
      <c r="Z31" s="1"/>
      <c r="AA31" s="1"/>
    </row>
    <row r="32" spans="2:27" ht="19.5" customHeight="1" x14ac:dyDescent="0.2">
      <c r="B32" s="376">
        <v>2024</v>
      </c>
      <c r="C32" s="70">
        <v>7</v>
      </c>
      <c r="D32" s="70"/>
      <c r="E32" s="70">
        <v>0</v>
      </c>
      <c r="F32" s="70"/>
      <c r="G32" s="248">
        <v>818</v>
      </c>
      <c r="H32" s="248"/>
      <c r="I32" s="70">
        <v>0</v>
      </c>
      <c r="J32" s="70"/>
      <c r="K32" s="70">
        <v>56664</v>
      </c>
      <c r="L32" s="248"/>
      <c r="M32" s="70">
        <v>0</v>
      </c>
      <c r="N32" s="70"/>
      <c r="O32" s="454">
        <f t="shared" si="4"/>
        <v>7</v>
      </c>
      <c r="P32" s="454"/>
      <c r="Q32" s="454">
        <f t="shared" si="5"/>
        <v>818</v>
      </c>
      <c r="R32" s="454"/>
      <c r="S32" s="454">
        <f t="shared" si="2"/>
        <v>56664</v>
      </c>
      <c r="T32" s="447"/>
      <c r="U32" s="1"/>
      <c r="V32" s="67"/>
      <c r="W32" s="67"/>
      <c r="X32" s="1"/>
      <c r="Y32" s="67"/>
      <c r="Z32" s="1"/>
      <c r="AA32" s="1"/>
    </row>
    <row r="33" spans="2:45" ht="19.5" customHeight="1" x14ac:dyDescent="0.2">
      <c r="B33" s="376">
        <v>2025</v>
      </c>
      <c r="C33" s="70">
        <v>3</v>
      </c>
      <c r="D33" s="70"/>
      <c r="E33" s="70">
        <v>0</v>
      </c>
      <c r="F33" s="70"/>
      <c r="G33" s="248">
        <v>1038</v>
      </c>
      <c r="H33" s="248"/>
      <c r="I33" s="70">
        <v>0</v>
      </c>
      <c r="J33" s="70"/>
      <c r="K33" s="70">
        <v>191768</v>
      </c>
      <c r="L33" s="248"/>
      <c r="M33" s="70">
        <v>0</v>
      </c>
      <c r="N33" s="70"/>
      <c r="O33" s="454">
        <f t="shared" ref="O33" si="6">SUM(C33:F33)</f>
        <v>3</v>
      </c>
      <c r="P33" s="454"/>
      <c r="Q33" s="454">
        <f t="shared" ref="Q33" si="7">SUM(G33:J33)</f>
        <v>1038</v>
      </c>
      <c r="R33" s="454"/>
      <c r="S33" s="454">
        <f t="shared" ref="S33" si="8">SUM(K33:N33)</f>
        <v>191768</v>
      </c>
      <c r="T33" s="447"/>
      <c r="U33" s="1"/>
      <c r="V33" s="67"/>
      <c r="W33" s="67"/>
      <c r="X33" s="1"/>
      <c r="Y33" s="67"/>
      <c r="Z33" s="1"/>
      <c r="AA33" s="1"/>
    </row>
    <row r="34" spans="2:45" ht="13.5" customHeight="1" x14ac:dyDescent="0.2">
      <c r="B34" s="376"/>
      <c r="C34" s="277"/>
      <c r="D34" s="277"/>
      <c r="E34" s="277"/>
      <c r="F34" s="277"/>
      <c r="G34" s="279"/>
      <c r="H34" s="279"/>
      <c r="I34" s="277"/>
      <c r="J34" s="277"/>
      <c r="K34" s="279"/>
      <c r="L34" s="279"/>
      <c r="M34" s="277"/>
      <c r="N34" s="277"/>
      <c r="O34" s="427"/>
      <c r="P34" s="427"/>
      <c r="Q34" s="427"/>
      <c r="R34" s="427"/>
      <c r="S34" s="427"/>
      <c r="T34" s="447"/>
      <c r="U34" s="1"/>
      <c r="V34" s="67"/>
      <c r="W34" s="67"/>
      <c r="X34" s="1"/>
      <c r="Y34" s="67"/>
      <c r="Z34" s="1"/>
      <c r="AA34" s="1"/>
    </row>
    <row r="35" spans="2:45" s="1" customFormat="1" ht="24.6" customHeight="1" x14ac:dyDescent="0.2">
      <c r="B35" s="5" t="s">
        <v>217</v>
      </c>
      <c r="C35" s="6"/>
      <c r="D35" s="6"/>
      <c r="E35" s="6"/>
      <c r="F35" s="6"/>
      <c r="G35" s="7"/>
      <c r="H35" s="6"/>
      <c r="I35" s="6"/>
      <c r="Y35" s="8"/>
      <c r="Z35" s="4"/>
      <c r="AA35" s="8"/>
      <c r="AB35" s="9"/>
      <c r="AC35" s="8"/>
      <c r="AD35" s="9"/>
    </row>
    <row r="36" spans="2:45" s="1" customFormat="1" ht="24.6" customHeight="1" x14ac:dyDescent="0.2">
      <c r="B36" s="10" t="s">
        <v>257</v>
      </c>
      <c r="C36" s="11"/>
      <c r="D36" s="11"/>
      <c r="E36" s="11"/>
      <c r="F36" s="11"/>
      <c r="G36" s="11"/>
      <c r="H36" s="12"/>
      <c r="I36" s="12"/>
      <c r="J36" s="12"/>
      <c r="K36" s="12"/>
      <c r="Z36" s="13"/>
      <c r="AA36" s="14"/>
      <c r="AB36" s="13"/>
      <c r="AC36" s="14"/>
      <c r="AD36" s="15"/>
    </row>
    <row r="37" spans="2:45" s="1" customFormat="1" ht="24.6" customHeight="1" x14ac:dyDescent="0.2">
      <c r="B37" s="16" t="s">
        <v>245</v>
      </c>
      <c r="D37" s="17"/>
      <c r="E37" s="18"/>
      <c r="F37" s="17"/>
      <c r="G37" s="19"/>
      <c r="H37" s="20"/>
      <c r="I37" s="21"/>
      <c r="J37" s="21"/>
    </row>
    <row r="38" spans="2:45" ht="24.6" customHeight="1" x14ac:dyDescent="0.2">
      <c r="B38" s="697" t="s">
        <v>215</v>
      </c>
      <c r="C38" s="697"/>
      <c r="D38" s="697"/>
      <c r="E38" s="697"/>
      <c r="F38" s="697"/>
      <c r="G38" s="697"/>
      <c r="H38" s="697"/>
      <c r="I38" s="697"/>
      <c r="J38" s="697"/>
      <c r="K38" s="697"/>
      <c r="L38" s="697"/>
      <c r="M38" s="697"/>
      <c r="N38" s="697"/>
      <c r="O38" s="697"/>
      <c r="P38" s="697"/>
      <c r="Q38" s="697"/>
      <c r="R38" s="697"/>
      <c r="S38" s="697"/>
      <c r="T38" s="697"/>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row>
  </sheetData>
  <mergeCells count="20">
    <mergeCell ref="B2:S2"/>
    <mergeCell ref="V3:Z3"/>
    <mergeCell ref="B1:T1"/>
    <mergeCell ref="B3:T3"/>
    <mergeCell ref="B4:T4"/>
    <mergeCell ref="O6:P6"/>
    <mergeCell ref="Q6:R6"/>
    <mergeCell ref="S6:T6"/>
    <mergeCell ref="C6:D6"/>
    <mergeCell ref="B38:T38"/>
    <mergeCell ref="E6:F6"/>
    <mergeCell ref="M6:N6"/>
    <mergeCell ref="G6:H6"/>
    <mergeCell ref="I6:J6"/>
    <mergeCell ref="B5:B6"/>
    <mergeCell ref="C5:F5"/>
    <mergeCell ref="G5:J5"/>
    <mergeCell ref="K6:L6"/>
    <mergeCell ref="K5:N5"/>
    <mergeCell ref="O5:T5"/>
  </mergeCells>
  <printOptions horizontalCentered="1" verticalCentered="1"/>
  <pageMargins left="0" right="0" top="0" bottom="0" header="0" footer="0"/>
  <pageSetup paperSize="9" scale="63" orientation="landscape" r:id="rId1"/>
  <ignoredErrors>
    <ignoredError sqref="R26 Q8:R24 O8:O24 O25:Q27 O29:Q29 O28:Q28 O30:S30 O33:Q33 O31:Q31"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26</vt:i4>
      </vt:variant>
      <vt:variant>
        <vt:lpstr>Rangos con nombre</vt:lpstr>
      </vt:variant>
      <vt:variant>
        <vt:i4>26</vt:i4>
      </vt:variant>
    </vt:vector>
  </HeadingPairs>
  <TitlesOfParts>
    <vt:vector size="52" baseType="lpstr">
      <vt:lpstr>Anexo 01</vt:lpstr>
      <vt:lpstr>Anexo 02</vt:lpstr>
      <vt:lpstr>Anexo 03</vt:lpstr>
      <vt:lpstr>Anexo 04-05</vt:lpstr>
      <vt:lpstr>Anexo 06</vt:lpstr>
      <vt:lpstr>Anexo 07-08</vt:lpstr>
      <vt:lpstr>Anexo 09</vt:lpstr>
      <vt:lpstr>Anexo 10</vt:lpstr>
      <vt:lpstr>Anexo 11</vt:lpstr>
      <vt:lpstr>Anexo 12</vt:lpstr>
      <vt:lpstr>Anexo 13</vt:lpstr>
      <vt:lpstr>Anexo 14</vt:lpstr>
      <vt:lpstr>Anexo15</vt:lpstr>
      <vt:lpstr>Anexo 16</vt:lpstr>
      <vt:lpstr>Anexo 17</vt:lpstr>
      <vt:lpstr>Anexo 18</vt:lpstr>
      <vt:lpstr>Anexo 19</vt:lpstr>
      <vt:lpstr>Anexo 20</vt:lpstr>
      <vt:lpstr>Anexo 21</vt:lpstr>
      <vt:lpstr>Anexo 22</vt:lpstr>
      <vt:lpstr>Anexo 23</vt:lpstr>
      <vt:lpstr>Anexo 24</vt:lpstr>
      <vt:lpstr>Anexo 25</vt:lpstr>
      <vt:lpstr>Anexo 26</vt:lpstr>
      <vt:lpstr>Anexo 27</vt:lpstr>
      <vt:lpstr>Anexo 28</vt:lpstr>
      <vt:lpstr>'Anexo 01'!Área_de_impresión</vt:lpstr>
      <vt:lpstr>'Anexo 02'!Área_de_impresión</vt:lpstr>
      <vt:lpstr>'Anexo 03'!Área_de_impresión</vt:lpstr>
      <vt:lpstr>'Anexo 04-05'!Área_de_impresión</vt:lpstr>
      <vt:lpstr>'Anexo 06'!Área_de_impresión</vt:lpstr>
      <vt:lpstr>'Anexo 07-08'!Área_de_impresión</vt:lpstr>
      <vt:lpstr>'Anexo 09'!Área_de_impresión</vt:lpstr>
      <vt:lpstr>'Anexo 10'!Área_de_impresión</vt:lpstr>
      <vt:lpstr>'Anexo 11'!Área_de_impresión</vt:lpstr>
      <vt:lpstr>'Anexo 12'!Área_de_impresión</vt:lpstr>
      <vt:lpstr>'Anexo 13'!Área_de_impresión</vt:lpstr>
      <vt:lpstr>'Anexo 14'!Área_de_impresión</vt:lpstr>
      <vt:lpstr>'Anexo 16'!Área_de_impresión</vt:lpstr>
      <vt:lpstr>'Anexo 17'!Área_de_impresión</vt:lpstr>
      <vt:lpstr>'Anexo 18'!Área_de_impresión</vt:lpstr>
      <vt:lpstr>'Anexo 19'!Área_de_impresión</vt:lpstr>
      <vt:lpstr>'Anexo 20'!Área_de_impresión</vt:lpstr>
      <vt:lpstr>'Anexo 21'!Área_de_impresión</vt:lpstr>
      <vt:lpstr>'Anexo 22'!Área_de_impresión</vt:lpstr>
      <vt:lpstr>'Anexo 23'!Área_de_impresión</vt:lpstr>
      <vt:lpstr>'Anexo 24'!Área_de_impresión</vt:lpstr>
      <vt:lpstr>'Anexo 25'!Área_de_impresión</vt:lpstr>
      <vt:lpstr>'Anexo 26'!Área_de_impresión</vt:lpstr>
      <vt:lpstr>'Anexo 27'!Área_de_impresión</vt:lpstr>
      <vt:lpstr>'Anexo 28'!Área_de_impresión</vt:lpstr>
      <vt:lpstr>Anexo15!Área_de_impresión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huelgas</dc:title>
  <dc:creator>Guillermo Moreno A.</dc:creator>
  <cp:lastModifiedBy>Marlene Echegaray Escate</cp:lastModifiedBy>
  <cp:lastPrinted>2026-02-27T19:32:18Z</cp:lastPrinted>
  <dcterms:created xsi:type="dcterms:W3CDTF">1996-12-06T00:24:03Z</dcterms:created>
  <dcterms:modified xsi:type="dcterms:W3CDTF">2026-02-27T19:34:50Z</dcterms:modified>
</cp:coreProperties>
</file>